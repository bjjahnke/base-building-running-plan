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ersonal/Desktop/Root/Records &amp; Admin/Health/Running/"/>
    </mc:Choice>
  </mc:AlternateContent>
  <xr:revisionPtr revIDLastSave="0" documentId="13_ncr:1_{DA308931-21C7-B744-A4A1-595501667C0C}" xr6:coauthVersionLast="47" xr6:coauthVersionMax="47" xr10:uidLastSave="{00000000-0000-0000-0000-000000000000}"/>
  <bookViews>
    <workbookView xWindow="2140" yWindow="760" windowWidth="30860" windowHeight="19780" tabRatio="500" xr2:uid="{00000000-000D-0000-FFFF-FFFF00000000}"/>
  </bookViews>
  <sheets>
    <sheet name="Start Here" sheetId="1" r:id="rId1"/>
    <sheet name="Daily Plan" sheetId="2" r:id="rId2"/>
    <sheet name="Week Grid" sheetId="3" r:id="rId3"/>
  </sheets>
  <definedNames>
    <definedName name="_xlnm._FilterDatabase" localSheetId="1" hidden="1">'Daily Plan'!$A$1:$M$79</definedName>
    <definedName name="_xlnm.Print_Titles" localSheetId="1">'Daily Plan'!$1:$1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6" i="3" l="1"/>
  <c r="J16" i="3"/>
  <c r="I16" i="3"/>
  <c r="B16" i="3"/>
  <c r="K15" i="3"/>
  <c r="J15" i="3"/>
  <c r="I15" i="3"/>
  <c r="H15" i="3"/>
  <c r="G15" i="3"/>
  <c r="F15" i="3"/>
  <c r="E15" i="3"/>
  <c r="D15" i="3"/>
  <c r="C15" i="3"/>
  <c r="B15" i="3"/>
  <c r="K14" i="3"/>
  <c r="J14" i="3"/>
  <c r="I14" i="3"/>
  <c r="H14" i="3"/>
  <c r="G14" i="3"/>
  <c r="F14" i="3"/>
  <c r="E14" i="3"/>
  <c r="D14" i="3"/>
  <c r="C14" i="3"/>
  <c r="B14" i="3"/>
  <c r="K13" i="3"/>
  <c r="J13" i="3"/>
  <c r="I13" i="3"/>
  <c r="H13" i="3"/>
  <c r="G13" i="3"/>
  <c r="F13" i="3"/>
  <c r="E13" i="3"/>
  <c r="D13" i="3"/>
  <c r="C13" i="3"/>
  <c r="B13" i="3"/>
  <c r="K12" i="3"/>
  <c r="J12" i="3"/>
  <c r="I12" i="3"/>
  <c r="H12" i="3"/>
  <c r="G12" i="3"/>
  <c r="F12" i="3"/>
  <c r="E12" i="3"/>
  <c r="D12" i="3"/>
  <c r="C12" i="3"/>
  <c r="B12" i="3"/>
  <c r="K11" i="3"/>
  <c r="J11" i="3"/>
  <c r="I11" i="3"/>
  <c r="H11" i="3"/>
  <c r="G11" i="3"/>
  <c r="F11" i="3"/>
  <c r="E11" i="3"/>
  <c r="D11" i="3"/>
  <c r="C11" i="3"/>
  <c r="B11" i="3"/>
  <c r="K10" i="3"/>
  <c r="J10" i="3"/>
  <c r="I10" i="3"/>
  <c r="H10" i="3"/>
  <c r="G10" i="3"/>
  <c r="F10" i="3"/>
  <c r="E10" i="3"/>
  <c r="D10" i="3"/>
  <c r="C10" i="3"/>
  <c r="B10" i="3"/>
  <c r="K9" i="3"/>
  <c r="J9" i="3"/>
  <c r="I9" i="3"/>
  <c r="H9" i="3"/>
  <c r="G9" i="3"/>
  <c r="F9" i="3"/>
  <c r="E9" i="3"/>
  <c r="D9" i="3"/>
  <c r="C9" i="3"/>
  <c r="B9" i="3"/>
  <c r="K8" i="3"/>
  <c r="J8" i="3"/>
  <c r="I8" i="3"/>
  <c r="H8" i="3"/>
  <c r="G8" i="3"/>
  <c r="F8" i="3"/>
  <c r="E8" i="3"/>
  <c r="D8" i="3"/>
  <c r="C8" i="3"/>
  <c r="B8" i="3"/>
  <c r="K7" i="3"/>
  <c r="J7" i="3"/>
  <c r="I7" i="3"/>
  <c r="H7" i="3"/>
  <c r="G7" i="3"/>
  <c r="F7" i="3"/>
  <c r="E7" i="3"/>
  <c r="D7" i="3"/>
  <c r="C7" i="3"/>
  <c r="B7" i="3"/>
  <c r="K6" i="3"/>
  <c r="J6" i="3"/>
  <c r="I6" i="3"/>
  <c r="H6" i="3"/>
  <c r="G6" i="3"/>
  <c r="F6" i="3"/>
  <c r="E6" i="3"/>
  <c r="D6" i="3"/>
  <c r="C6" i="3"/>
  <c r="B6" i="3"/>
  <c r="K5" i="3"/>
  <c r="J5" i="3"/>
  <c r="I5" i="3"/>
  <c r="H5" i="3"/>
  <c r="G5" i="3"/>
  <c r="F5" i="3"/>
  <c r="E5" i="3"/>
  <c r="D5" i="3"/>
  <c r="C5" i="3"/>
  <c r="B5" i="3"/>
  <c r="H4" i="3"/>
  <c r="G4" i="3"/>
  <c r="F4" i="3"/>
  <c r="E4" i="3"/>
  <c r="D4" i="3"/>
  <c r="C4" i="3"/>
  <c r="B4" i="3"/>
  <c r="C79" i="2"/>
  <c r="D79" i="2" s="1"/>
  <c r="C78" i="2"/>
  <c r="D78" i="2" s="1"/>
  <c r="C77" i="2"/>
  <c r="D77" i="2" s="1"/>
  <c r="C76" i="2"/>
  <c r="D76" i="2" s="1"/>
  <c r="C75" i="2"/>
  <c r="D75" i="2" s="1"/>
  <c r="C74" i="2"/>
  <c r="D74" i="2" s="1"/>
  <c r="C73" i="2"/>
  <c r="D73" i="2" s="1"/>
  <c r="C72" i="2"/>
  <c r="D72" i="2" s="1"/>
  <c r="C71" i="2"/>
  <c r="D71" i="2" s="1"/>
  <c r="C70" i="2"/>
  <c r="D70" i="2" s="1"/>
  <c r="C69" i="2"/>
  <c r="D69" i="2" s="1"/>
  <c r="C68" i="2"/>
  <c r="D68" i="2" s="1"/>
  <c r="C67" i="2"/>
  <c r="D67" i="2" s="1"/>
  <c r="C66" i="2"/>
  <c r="D66" i="2" s="1"/>
  <c r="C65" i="2"/>
  <c r="D65" i="2" s="1"/>
  <c r="C64" i="2"/>
  <c r="D64" i="2" s="1"/>
  <c r="C63" i="2"/>
  <c r="D63" i="2" s="1"/>
  <c r="C62" i="2"/>
  <c r="D62" i="2" s="1"/>
  <c r="C61" i="2"/>
  <c r="D61" i="2" s="1"/>
  <c r="C60" i="2"/>
  <c r="D60" i="2" s="1"/>
  <c r="C59" i="2"/>
  <c r="D59" i="2" s="1"/>
  <c r="C58" i="2"/>
  <c r="D58" i="2" s="1"/>
  <c r="C57" i="2"/>
  <c r="D57" i="2" s="1"/>
  <c r="C56" i="2"/>
  <c r="D56" i="2" s="1"/>
  <c r="C55" i="2"/>
  <c r="D55" i="2" s="1"/>
  <c r="C54" i="2"/>
  <c r="D54" i="2" s="1"/>
  <c r="C53" i="2"/>
  <c r="D53" i="2" s="1"/>
  <c r="C52" i="2"/>
  <c r="D52" i="2" s="1"/>
  <c r="C51" i="2"/>
  <c r="D51" i="2" s="1"/>
  <c r="C50" i="2"/>
  <c r="D50" i="2" s="1"/>
  <c r="C49" i="2"/>
  <c r="D49" i="2" s="1"/>
  <c r="C48" i="2"/>
  <c r="D48" i="2" s="1"/>
  <c r="C47" i="2"/>
  <c r="D47" i="2" s="1"/>
  <c r="C46" i="2"/>
  <c r="D46" i="2" s="1"/>
  <c r="C45" i="2"/>
  <c r="D45" i="2" s="1"/>
  <c r="C44" i="2"/>
  <c r="D44" i="2" s="1"/>
  <c r="C43" i="2"/>
  <c r="D43" i="2" s="1"/>
  <c r="C42" i="2"/>
  <c r="D42" i="2" s="1"/>
  <c r="C41" i="2"/>
  <c r="D41" i="2" s="1"/>
  <c r="C40" i="2"/>
  <c r="D40" i="2" s="1"/>
  <c r="C39" i="2"/>
  <c r="D39" i="2" s="1"/>
  <c r="C38" i="2"/>
  <c r="D38" i="2" s="1"/>
  <c r="C37" i="2"/>
  <c r="D37" i="2" s="1"/>
  <c r="C36" i="2"/>
  <c r="D36" i="2" s="1"/>
  <c r="C35" i="2"/>
  <c r="D35" i="2" s="1"/>
  <c r="C34" i="2"/>
  <c r="D34" i="2" s="1"/>
  <c r="C33" i="2"/>
  <c r="D33" i="2" s="1"/>
  <c r="C32" i="2"/>
  <c r="D32" i="2" s="1"/>
  <c r="C31" i="2"/>
  <c r="D31" i="2" s="1"/>
  <c r="C30" i="2"/>
  <c r="D30" i="2" s="1"/>
  <c r="C29" i="2"/>
  <c r="D29" i="2" s="1"/>
  <c r="C28" i="2"/>
  <c r="D28" i="2" s="1"/>
  <c r="C27" i="2"/>
  <c r="D27" i="2" s="1"/>
  <c r="C26" i="2"/>
  <c r="D26" i="2" s="1"/>
  <c r="C25" i="2"/>
  <c r="D25" i="2" s="1"/>
  <c r="C24" i="2"/>
  <c r="D24" i="2" s="1"/>
  <c r="C23" i="2"/>
  <c r="D23" i="2" s="1"/>
  <c r="C22" i="2"/>
  <c r="D22" i="2" s="1"/>
  <c r="C21" i="2"/>
  <c r="D21" i="2" s="1"/>
  <c r="C20" i="2"/>
  <c r="D20" i="2" s="1"/>
  <c r="C19" i="2"/>
  <c r="D19" i="2" s="1"/>
  <c r="C18" i="2"/>
  <c r="D18" i="2" s="1"/>
  <c r="C17" i="2"/>
  <c r="D17" i="2" s="1"/>
  <c r="C16" i="2"/>
  <c r="D16" i="2" s="1"/>
  <c r="C15" i="2"/>
  <c r="D15" i="2" s="1"/>
  <c r="C14" i="2"/>
  <c r="D14" i="2" s="1"/>
  <c r="C13" i="2"/>
  <c r="D13" i="2" s="1"/>
  <c r="C12" i="2"/>
  <c r="D12" i="2" s="1"/>
  <c r="C11" i="2"/>
  <c r="D11" i="2" s="1"/>
  <c r="C10" i="2"/>
  <c r="D10" i="2" s="1"/>
  <c r="C9" i="2"/>
  <c r="D9" i="2" s="1"/>
  <c r="C8" i="2"/>
  <c r="D8" i="2" s="1"/>
  <c r="C7" i="2"/>
  <c r="D7" i="2" s="1"/>
  <c r="C6" i="2"/>
  <c r="D6" i="2" s="1"/>
  <c r="C5" i="2"/>
  <c r="C4" i="2"/>
  <c r="A16" i="1" s="1"/>
  <c r="C3" i="2"/>
  <c r="C2" i="2"/>
  <c r="D2" i="2" s="1"/>
  <c r="B14" i="1" s="1"/>
  <c r="E28" i="1"/>
  <c r="E27" i="1"/>
  <c r="E26" i="1"/>
  <c r="E25" i="1"/>
  <c r="E24" i="1"/>
  <c r="G21" i="1"/>
  <c r="F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C10" i="1"/>
  <c r="A7" i="1"/>
  <c r="A6" i="1"/>
  <c r="A15" i="1" l="1"/>
  <c r="A17" i="1"/>
  <c r="B19" i="1"/>
  <c r="A19" i="1"/>
  <c r="B20" i="1"/>
  <c r="B18" i="1"/>
  <c r="A18" i="1"/>
  <c r="A20" i="1"/>
  <c r="A14" i="1"/>
  <c r="D5" i="2"/>
  <c r="B17" i="1" s="1"/>
  <c r="D3" i="2"/>
  <c r="B15" i="1" s="1"/>
  <c r="D4" i="2"/>
  <c r="B16" i="1" s="1"/>
</calcChain>
</file>

<file path=xl/sharedStrings.xml><?xml version="1.0" encoding="utf-8"?>
<sst xmlns="http://schemas.openxmlformats.org/spreadsheetml/2006/main" count="387" uniqueCount="85">
  <si>
    <t>Base Building Plan</t>
  </si>
  <si>
    <t>STEP 1  —  When are you starting?</t>
  </si>
  <si>
    <t>Start date:</t>
  </si>
  <si>
    <t>←  change this and every date in the plan moves with it.</t>
  </si>
  <si>
    <t>STEP 2  —  Which week are you on?</t>
  </si>
  <si>
    <t>I'm on week:</t>
  </si>
  <si>
    <t>THIS WEEK'S RUNS</t>
  </si>
  <si>
    <t>Date</t>
  </si>
  <si>
    <t>Day</t>
  </si>
  <si>
    <t>Workout</t>
  </si>
  <si>
    <t>Type</t>
  </si>
  <si>
    <t>Target min</t>
  </si>
  <si>
    <t>Done?</t>
  </si>
  <si>
    <t>Week total:</t>
  </si>
  <si>
    <t>YOUR PROGRESS  —  fills in as you log runs on the Daily Plan tab</t>
  </si>
  <si>
    <t>Minutes planned across the whole plan</t>
  </si>
  <si>
    <t>Minutes you've actually logged</t>
  </si>
  <si>
    <t>Miles you've actually logged</t>
  </si>
  <si>
    <t>Runs completed</t>
  </si>
  <si>
    <t>Share of planned minutes done</t>
  </si>
  <si>
    <t>WHAT THE SHORTHAND MEANS</t>
  </si>
  <si>
    <t>Term</t>
  </si>
  <si>
    <t>What it means</t>
  </si>
  <si>
    <t>easy</t>
  </si>
  <si>
    <t>Conversational. You should be able to talk in full sentences the whole way.</t>
  </si>
  <si>
    <t>tempo</t>
  </si>
  <si>
    <t>Comfortably hard, sustained. Roughly the pace you could hold for an hour all-out.</t>
  </si>
  <si>
    <t>pickups (pu)</t>
  </si>
  <si>
    <t>Short bursts of fast, relaxed running inside an easy run, with easy jogging between.</t>
  </si>
  <si>
    <t>hills</t>
  </si>
  <si>
    <t>Hard uphill efforts, then jog back down to recover. Builds strength.</t>
  </si>
  <si>
    <t>off</t>
  </si>
  <si>
    <t>No running. This is part of the plan, not a failure. The first six weeks have two per week.</t>
  </si>
  <si>
    <t>2 x 8 min tempo</t>
  </si>
  <si>
    <t>Two tempo blocks of 8 minutes each, with easy jogging in between.</t>
  </si>
  <si>
    <t>HOW TO LOG A RUN  —  example</t>
  </si>
  <si>
    <t>Actual min</t>
  </si>
  <si>
    <t>Distance (mi)</t>
  </si>
  <si>
    <t>Feel 1-5</t>
  </si>
  <si>
    <t>Notes</t>
  </si>
  <si>
    <t>Yes</t>
  </si>
  <si>
    <t>3.60</t>
  </si>
  <si>
    <t>4</t>
  </si>
  <si>
    <t>Legs felt good, humid. Ran the river loop.</t>
  </si>
  <si>
    <t>Fill these in on the Daily Plan tab — they're the yellow columns. Nothing is required; even just ticking Done? keeps the progress numbers above moving.</t>
  </si>
  <si>
    <t>Week</t>
  </si>
  <si>
    <t>Weekday</t>
  </si>
  <si>
    <t>—</t>
  </si>
  <si>
    <t>Rest</t>
  </si>
  <si>
    <t>20 min easy</t>
  </si>
  <si>
    <t>Easy</t>
  </si>
  <si>
    <t>No</t>
  </si>
  <si>
    <t>25 min easy</t>
  </si>
  <si>
    <t>30 min easy</t>
  </si>
  <si>
    <t>35 min easy</t>
  </si>
  <si>
    <t>40 min easy</t>
  </si>
  <si>
    <t>40 min run</t>
  </si>
  <si>
    <t>1 x 5 min tempo</t>
  </si>
  <si>
    <t>Tempo</t>
  </si>
  <si>
    <t>30 min run</t>
  </si>
  <si>
    <t>5 x 1 min pickups</t>
  </si>
  <si>
    <t>Pickups</t>
  </si>
  <si>
    <t>45 min run</t>
  </si>
  <si>
    <t>2 x 4 min tempo</t>
  </si>
  <si>
    <t>5 x 40 sec hills</t>
  </si>
  <si>
    <t>Hills</t>
  </si>
  <si>
    <t>1 x 10 min tempo</t>
  </si>
  <si>
    <t>8 x 40 sec hills</t>
  </si>
  <si>
    <t>50 min run</t>
  </si>
  <si>
    <t>10 x 1 min pickups</t>
  </si>
  <si>
    <t>60 min run</t>
  </si>
  <si>
    <t>END OF PLAN  —  the Sunday of week 12 is the final day.</t>
  </si>
  <si>
    <t>Dates in column C fill in automatically from the start date on the Start Here tab. Don't type over them — change the start date instead and the whole plan shifts.</t>
  </si>
  <si>
    <t>Today's row is shaded green so you can find your place at a glance.</t>
  </si>
  <si>
    <t>Yellow columns are yours to fill in. Everything to their left is the original plan from your coach's spreadsheet.</t>
  </si>
  <si>
    <t>Trimmed at your request to end on the Sunday of week 12; the rest of week 12 and all of week 13 have been dropped.</t>
  </si>
  <si>
    <t>The Whole Plan at a Glance</t>
  </si>
  <si>
    <t>Reference view. Weekday headings and dates follow the start date on the Start Here tab. Print this and stick it somewhere.</t>
  </si>
  <si>
    <t>Dates</t>
  </si>
  <si>
    <t>Logged min</t>
  </si>
  <si>
    <t>plan ends</t>
  </si>
  <si>
    <t>Shape of the plan: six weeks of easy running only, then the first tempo appears in week 7 and quality is layered in from there. Volume climbs 80 → 195 min across weeks 1-11, and the plan closes on a single easy 35 min run.</t>
  </si>
  <si>
    <t>Duration</t>
  </si>
  <si>
    <t>Blue = easy running.   Orange = a workout session (tempo, hills or pickups).   Grey = day off.</t>
  </si>
  <si>
    <t>11-week plan that will get you into running shape without fail.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</si>
</sst>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d&quot;, &quot;mmm\ d&quot;, &quot;yyyy"/>
    <numFmt numFmtId="165" formatCode="0.0"/>
    <numFmt numFmtId="166" formatCode="0.0%"/>
    <numFmt numFmtId="167" formatCode="ddd&quot;, &quot;mmm\ d"/>
  </numFmts>
  <fonts count="22" x14ac:knownFonts="1">
    <font>
      <sz val="11"/>
      <color theme="1"/>
      <name val="Calibri"/>
      <family val="2"/>
      <charset val="1"/>
    </font>
    <font>
      <b/>
      <sz val="18"/>
      <color rgb="FF1F3864"/>
      <name val="Arial"/>
      <family val="2"/>
    </font>
    <font>
      <i/>
      <sz val="11"/>
      <color rgb="FF595959"/>
      <name val="Arial"/>
      <family val="2"/>
    </font>
    <font>
      <b/>
      <sz val="11"/>
      <color rgb="FFFFFFFF"/>
      <name val="Arial"/>
      <family val="2"/>
    </font>
    <font>
      <b/>
      <sz val="11"/>
      <color rgb="FF222222"/>
      <name val="Arial"/>
      <family val="2"/>
    </font>
    <font>
      <b/>
      <sz val="12"/>
      <color rgb="FF0000FF"/>
      <name val="Arial"/>
      <family val="2"/>
    </font>
    <font>
      <i/>
      <sz val="10"/>
      <color rgb="FF595959"/>
      <name val="Arial"/>
      <family val="2"/>
    </font>
    <font>
      <sz val="10"/>
      <color rgb="FF833C00"/>
      <name val="Arial"/>
      <family val="2"/>
    </font>
    <font>
      <b/>
      <sz val="10"/>
      <color rgb="FF1F3864"/>
      <name val="Arial"/>
      <family val="2"/>
    </font>
    <font>
      <b/>
      <sz val="14"/>
      <color rgb="FF0000FF"/>
      <name val="Arial"/>
      <family val="2"/>
    </font>
    <font>
      <b/>
      <sz val="10"/>
      <color rgb="FFFFFFFF"/>
      <name val="Arial"/>
      <family val="2"/>
    </font>
    <font>
      <sz val="11"/>
      <color rgb="FF222222"/>
      <name val="Arial"/>
      <family val="2"/>
    </font>
    <font>
      <b/>
      <sz val="11"/>
      <color rgb="FF1F3864"/>
      <name val="Arial"/>
      <family val="2"/>
    </font>
    <font>
      <sz val="10"/>
      <color rgb="FF222222"/>
      <name val="Arial"/>
      <family val="2"/>
    </font>
    <font>
      <i/>
      <sz val="10"/>
      <color rgb="FF7F7F7F"/>
      <name val="Arial"/>
      <family val="2"/>
    </font>
    <font>
      <i/>
      <sz val="9"/>
      <color rgb="FF7F7F7F"/>
      <name val="Arial"/>
      <family val="2"/>
    </font>
    <font>
      <sz val="9"/>
      <color rgb="FF595959"/>
      <name val="Arial"/>
      <family val="2"/>
    </font>
    <font>
      <b/>
      <sz val="16"/>
      <color rgb="FF1F3864"/>
      <name val="Arial"/>
      <family val="2"/>
    </font>
    <font>
      <b/>
      <sz val="12"/>
      <color rgb="FFFFFFFF"/>
      <name val="Arial"/>
      <family val="2"/>
    </font>
    <font>
      <sz val="9"/>
      <color rgb="FF222222"/>
      <name val="Arial"/>
      <family val="2"/>
    </font>
    <font>
      <i/>
      <sz val="9"/>
      <color rgb="FFA6A6A6"/>
      <name val="Arial"/>
      <family val="2"/>
    </font>
    <font>
      <b/>
      <sz val="10"/>
      <color rgb="FF59595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DE7"/>
        <bgColor rgb="FFFAFAFA"/>
      </patternFill>
    </fill>
    <fill>
      <patternFill patternType="solid">
        <fgColor rgb="FFE2EFDA"/>
        <bgColor rgb="FFDEEBF7"/>
      </patternFill>
    </fill>
    <fill>
      <patternFill patternType="solid">
        <fgColor rgb="FFF2F2F2"/>
        <bgColor rgb="FFFAFAFA"/>
      </patternFill>
    </fill>
    <fill>
      <patternFill patternType="solid">
        <fgColor rgb="FFDEEBF7"/>
        <bgColor rgb="FFE2EFDA"/>
      </patternFill>
    </fill>
    <fill>
      <patternFill patternType="solid">
        <fgColor rgb="FFFCE4D6"/>
        <bgColor rgb="FFF2F2F2"/>
      </patternFill>
    </fill>
    <fill>
      <patternFill patternType="solid">
        <fgColor rgb="FFFAFAFA"/>
        <bgColor rgb="FFFFFFFF"/>
      </patternFill>
    </fill>
  </fills>
  <borders count="4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6" fillId="0" borderId="0" xfId="0" applyFont="1"/>
    <xf numFmtId="0" fontId="1" fillId="0" borderId="0" xfId="0" applyFont="1"/>
    <xf numFmtId="0" fontId="4" fillId="0" borderId="0" xfId="0" applyFont="1"/>
    <xf numFmtId="0" fontId="9" fillId="3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right"/>
    </xf>
    <xf numFmtId="0" fontId="12" fillId="4" borderId="2" xfId="0" applyFont="1" applyFill="1" applyBorder="1" applyAlignment="1">
      <alignment horizontal="center"/>
    </xf>
    <xf numFmtId="1" fontId="12" fillId="4" borderId="2" xfId="0" applyNumberFormat="1" applyFont="1" applyFill="1" applyBorder="1" applyAlignment="1">
      <alignment horizontal="center"/>
    </xf>
    <xf numFmtId="165" fontId="12" fillId="4" borderId="2" xfId="0" applyNumberFormat="1" applyFont="1" applyFill="1" applyBorder="1" applyAlignment="1">
      <alignment horizontal="center"/>
    </xf>
    <xf numFmtId="166" fontId="12" fillId="4" borderId="2" xfId="0" applyNumberFormat="1" applyFont="1" applyFill="1" applyBorder="1" applyAlignment="1">
      <alignment horizontal="center"/>
    </xf>
    <xf numFmtId="0" fontId="8" fillId="0" borderId="2" xfId="0" applyFont="1" applyBorder="1" applyAlignment="1">
      <alignment vertical="center"/>
    </xf>
    <xf numFmtId="0" fontId="14" fillId="3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/>
    </xf>
    <xf numFmtId="167" fontId="13" fillId="5" borderId="2" xfId="0" applyNumberFormat="1" applyFont="1" applyFill="1" applyBorder="1" applyAlignment="1">
      <alignment horizontal="center"/>
    </xf>
    <xf numFmtId="0" fontId="13" fillId="5" borderId="2" xfId="0" applyFont="1" applyFill="1" applyBorder="1" applyAlignment="1">
      <alignment horizontal="left"/>
    </xf>
    <xf numFmtId="0" fontId="13" fillId="5" borderId="2" xfId="0" applyFont="1" applyFill="1" applyBorder="1" applyAlignment="1">
      <alignment vertical="center" wrapText="1"/>
    </xf>
    <xf numFmtId="0" fontId="13" fillId="3" borderId="2" xfId="0" applyFont="1" applyFill="1" applyBorder="1" applyAlignment="1">
      <alignment horizontal="center"/>
    </xf>
    <xf numFmtId="0" fontId="13" fillId="3" borderId="2" xfId="0" applyFont="1" applyFill="1" applyBorder="1"/>
    <xf numFmtId="2" fontId="13" fillId="3" borderId="2" xfId="0" applyNumberFormat="1" applyFont="1" applyFill="1" applyBorder="1"/>
    <xf numFmtId="0" fontId="13" fillId="3" borderId="2" xfId="0" applyFont="1" applyFill="1" applyBorder="1" applyAlignment="1">
      <alignment vertical="center" wrapText="1"/>
    </xf>
    <xf numFmtId="0" fontId="13" fillId="6" borderId="2" xfId="0" applyFont="1" applyFill="1" applyBorder="1" applyAlignment="1">
      <alignment horizontal="center"/>
    </xf>
    <xf numFmtId="167" fontId="13" fillId="6" borderId="2" xfId="0" applyNumberFormat="1" applyFont="1" applyFill="1" applyBorder="1" applyAlignment="1">
      <alignment horizontal="center"/>
    </xf>
    <xf numFmtId="0" fontId="13" fillId="6" borderId="2" xfId="0" applyFont="1" applyFill="1" applyBorder="1" applyAlignment="1">
      <alignment horizontal="left"/>
    </xf>
    <xf numFmtId="0" fontId="13" fillId="6" borderId="2" xfId="0" applyFont="1" applyFill="1" applyBorder="1" applyAlignment="1">
      <alignment vertical="center" wrapText="1"/>
    </xf>
    <xf numFmtId="0" fontId="13" fillId="6" borderId="3" xfId="0" applyFont="1" applyFill="1" applyBorder="1" applyAlignment="1">
      <alignment horizontal="center"/>
    </xf>
    <xf numFmtId="167" fontId="13" fillId="6" borderId="3" xfId="0" applyNumberFormat="1" applyFont="1" applyFill="1" applyBorder="1" applyAlignment="1">
      <alignment horizontal="center"/>
    </xf>
    <xf numFmtId="0" fontId="13" fillId="6" borderId="3" xfId="0" applyFont="1" applyFill="1" applyBorder="1" applyAlignment="1">
      <alignment horizontal="left"/>
    </xf>
    <xf numFmtId="0" fontId="13" fillId="6" borderId="3" xfId="0" applyFont="1" applyFill="1" applyBorder="1" applyAlignment="1">
      <alignment vertical="center" wrapText="1"/>
    </xf>
    <xf numFmtId="0" fontId="13" fillId="3" borderId="3" xfId="0" applyFont="1" applyFill="1" applyBorder="1" applyAlignment="1">
      <alignment horizontal="center"/>
    </xf>
    <xf numFmtId="0" fontId="13" fillId="3" borderId="3" xfId="0" applyFont="1" applyFill="1" applyBorder="1"/>
    <xf numFmtId="2" fontId="13" fillId="3" borderId="3" xfId="0" applyNumberFormat="1" applyFont="1" applyFill="1" applyBorder="1"/>
    <xf numFmtId="0" fontId="13" fillId="3" borderId="3" xfId="0" applyFont="1" applyFill="1" applyBorder="1" applyAlignment="1">
      <alignment vertical="center" wrapText="1"/>
    </xf>
    <xf numFmtId="0" fontId="13" fillId="7" borderId="2" xfId="0" applyFont="1" applyFill="1" applyBorder="1" applyAlignment="1">
      <alignment horizontal="center"/>
    </xf>
    <xf numFmtId="167" fontId="13" fillId="7" borderId="2" xfId="0" applyNumberFormat="1" applyFont="1" applyFill="1" applyBorder="1" applyAlignment="1">
      <alignment horizontal="center"/>
    </xf>
    <xf numFmtId="0" fontId="13" fillId="7" borderId="2" xfId="0" applyFont="1" applyFill="1" applyBorder="1" applyAlignment="1">
      <alignment horizontal="left"/>
    </xf>
    <xf numFmtId="0" fontId="13" fillId="7" borderId="2" xfId="0" applyFont="1" applyFill="1" applyBorder="1" applyAlignment="1">
      <alignment vertical="center" wrapText="1"/>
    </xf>
    <xf numFmtId="0" fontId="13" fillId="7" borderId="3" xfId="0" applyFont="1" applyFill="1" applyBorder="1" applyAlignment="1">
      <alignment horizontal="center"/>
    </xf>
    <xf numFmtId="167" fontId="13" fillId="7" borderId="3" xfId="0" applyNumberFormat="1" applyFont="1" applyFill="1" applyBorder="1" applyAlignment="1">
      <alignment horizontal="center"/>
    </xf>
    <xf numFmtId="0" fontId="13" fillId="7" borderId="3" xfId="0" applyFont="1" applyFill="1" applyBorder="1" applyAlignment="1">
      <alignment horizontal="left"/>
    </xf>
    <xf numFmtId="0" fontId="13" fillId="7" borderId="3" xfId="0" applyFont="1" applyFill="1" applyBorder="1" applyAlignment="1">
      <alignment vertical="center" wrapText="1"/>
    </xf>
    <xf numFmtId="0" fontId="13" fillId="5" borderId="3" xfId="0" applyFont="1" applyFill="1" applyBorder="1" applyAlignment="1">
      <alignment horizontal="center"/>
    </xf>
    <xf numFmtId="167" fontId="13" fillId="5" borderId="3" xfId="0" applyNumberFormat="1" applyFont="1" applyFill="1" applyBorder="1" applyAlignment="1">
      <alignment horizontal="center"/>
    </xf>
    <xf numFmtId="0" fontId="13" fillId="5" borderId="3" xfId="0" applyFont="1" applyFill="1" applyBorder="1" applyAlignment="1">
      <alignment horizontal="left"/>
    </xf>
    <xf numFmtId="0" fontId="13" fillId="5" borderId="3" xfId="0" applyFont="1" applyFill="1" applyBorder="1" applyAlignment="1">
      <alignment vertical="center" wrapText="1"/>
    </xf>
    <xf numFmtId="0" fontId="15" fillId="0" borderId="0" xfId="0" applyFont="1"/>
    <xf numFmtId="0" fontId="17" fillId="0" borderId="0" xfId="0" applyFont="1"/>
    <xf numFmtId="0" fontId="18" fillId="2" borderId="2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indent="1"/>
    </xf>
    <xf numFmtId="164" fontId="5" fillId="3" borderId="1" xfId="0" applyNumberFormat="1" applyFont="1" applyFill="1" applyBorder="1" applyAlignment="1">
      <alignment horizontal="center"/>
    </xf>
    <xf numFmtId="0" fontId="7" fillId="0" borderId="0" xfId="0" applyFont="1" applyAlignment="1">
      <alignment vertical="center" wrapText="1"/>
    </xf>
    <xf numFmtId="0" fontId="8" fillId="0" borderId="0" xfId="0" applyFont="1"/>
    <xf numFmtId="0" fontId="6" fillId="0" borderId="0" xfId="0" applyFont="1"/>
    <xf numFmtId="0" fontId="13" fillId="0" borderId="0" xfId="0" applyFont="1"/>
    <xf numFmtId="0" fontId="13" fillId="0" borderId="2" xfId="0" applyFont="1" applyBorder="1" applyAlignment="1">
      <alignment vertical="center" wrapText="1"/>
    </xf>
    <xf numFmtId="0" fontId="14" fillId="3" borderId="2" xfId="0" applyFont="1" applyFill="1" applyBorder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3" fillId="0" borderId="0" xfId="0" applyFont="1" applyFill="1" applyAlignment="1">
      <alignment vertical="center" indent="1"/>
    </xf>
  </cellXfs>
  <cellStyles count="1">
    <cellStyle name="Normal" xfId="0" builtinId="0"/>
  </cellStyles>
  <dxfs count="1">
    <dxf>
      <font>
        <b/>
        <color rgb="FF1F3864"/>
      </font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DE7"/>
      <rgbColor rgb="FFDEEBF7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AFAFA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833C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showGridLines="0" tabSelected="1" topLeftCell="A17" zoomScale="110" zoomScaleNormal="110" workbookViewId="0">
      <selection activeCell="L10" sqref="L10"/>
    </sheetView>
  </sheetViews>
  <sheetFormatPr baseColWidth="10" defaultColWidth="8.6640625" defaultRowHeight="15" x14ac:dyDescent="0.2"/>
  <cols>
    <col min="1" max="1" width="20" customWidth="1"/>
    <col min="2" max="2" width="16" customWidth="1"/>
    <col min="3" max="3" width="20" customWidth="1"/>
    <col min="4" max="4" width="24" customWidth="1"/>
    <col min="5" max="5" width="13" customWidth="1"/>
    <col min="6" max="6" width="12" customWidth="1"/>
    <col min="7" max="7" width="15" customWidth="1"/>
  </cols>
  <sheetData>
    <row r="1" spans="1:7" ht="23" x14ac:dyDescent="0.25">
      <c r="A1" s="2" t="s">
        <v>0</v>
      </c>
    </row>
    <row r="2" spans="1:7" x14ac:dyDescent="0.2">
      <c r="A2" s="57" t="s">
        <v>84</v>
      </c>
      <c r="B2" s="57"/>
      <c r="C2" s="57"/>
      <c r="D2" s="57"/>
      <c r="E2" s="57"/>
      <c r="F2" s="57"/>
      <c r="G2" s="57"/>
    </row>
    <row r="4" spans="1:7" ht="21.75" customHeight="1" x14ac:dyDescent="0.2">
      <c r="A4" s="58" t="s">
        <v>1</v>
      </c>
      <c r="B4" s="58"/>
      <c r="C4" s="58"/>
      <c r="D4" s="58"/>
      <c r="E4" s="58"/>
      <c r="F4" s="58"/>
      <c r="G4" s="58"/>
    </row>
    <row r="5" spans="1:7" ht="16" x14ac:dyDescent="0.2">
      <c r="A5" s="3" t="s">
        <v>2</v>
      </c>
      <c r="B5" s="59">
        <v>46221</v>
      </c>
      <c r="C5" s="59"/>
      <c r="D5" s="1" t="s">
        <v>3</v>
      </c>
    </row>
    <row r="6" spans="1:7" ht="30" customHeight="1" x14ac:dyDescent="0.2">
      <c r="A6" s="60" t="str">
        <f>IF(WEEKDAY($B$5,1)=1,"You're starting on a Sunday, so the plan's rest days land exactly where your coach put them.","You're starting on a "&amp;TEXT($B$5,"dddd")&amp;". Everything still works — the plan's off-days just rotate with you. To keep the original Sunday-to-Saturday weeks, start on "&amp;TEXT($B$5-WEEKDAY($B$5,1)+8,"dddd, mmm d")&amp;" instead.")</f>
        <v>You're starting on a Saturday. Everything still works — the plan's off-days just rotate with you. To keep the original Sunday-to-Saturday weeks, start on Sunday, Jul 19 instead.</v>
      </c>
      <c r="B6" s="60"/>
      <c r="C6" s="60"/>
      <c r="D6" s="60"/>
      <c r="E6" s="60"/>
      <c r="F6" s="60"/>
      <c r="G6" s="60"/>
    </row>
    <row r="7" spans="1:7" x14ac:dyDescent="0.2">
      <c r="A7" s="61" t="str">
        <f>"Plan runs "&amp;TEXT($B$5,"ddd, mmm d")&amp;" through "&amp;TEXT($B$5+COUNT('Daily Plan'!$A$2:$A$79)-1,"ddd, mmm d, yyyy")&amp;"   •   "&amp;COUNT('Daily Plan'!$A$2:$A$79)&amp;" days, "&amp;COUNTIF('Daily Plan'!$G$2:$G$79,"&lt;&gt;Rest")&amp;" runs, "&amp;SUM('Daily Plan'!$H$2:$H$79)&amp;" planned minutes."</f>
        <v>Plan runs Sat, Jul 18 through Sat, Oct 3, 2026   •   78 days, 55 runs, 1695 planned minutes.</v>
      </c>
      <c r="B7" s="61"/>
      <c r="C7" s="61"/>
      <c r="D7" s="61"/>
      <c r="E7" s="61"/>
      <c r="F7" s="61"/>
      <c r="G7" s="61"/>
    </row>
    <row r="9" spans="1:7" ht="21.75" customHeight="1" x14ac:dyDescent="0.2">
      <c r="A9" s="58" t="s">
        <v>4</v>
      </c>
      <c r="B9" s="58"/>
      <c r="C9" s="58"/>
      <c r="D9" s="58"/>
      <c r="E9" s="58"/>
      <c r="F9" s="58"/>
      <c r="G9" s="58"/>
    </row>
    <row r="10" spans="1:7" ht="18" x14ac:dyDescent="0.2">
      <c r="A10" s="3" t="s">
        <v>5</v>
      </c>
      <c r="B10" s="4">
        <v>1</v>
      </c>
      <c r="C10" s="62" t="str">
        <f ca="1">IF(TODAY()&lt;$B$5,"Not started yet — first day is "&amp;TEXT($B$5,"dddd, mmm d")&amp;".",IF(TODAY()&gt;$B$5+COUNT('Daily Plan'!$A$2:$A$79)-1,"Plan complete.","Today is day "&amp;(TODAY()-$B$5+1)&amp;" of the plan — that's week "&amp;(INT((TODAY()-$B$5)/7)+1)&amp;"."))</f>
        <v>Plan complete.</v>
      </c>
      <c r="D10" s="62"/>
      <c r="E10" s="62"/>
      <c r="F10" s="62"/>
      <c r="G10" s="62"/>
    </row>
    <row r="12" spans="1:7" ht="21.75" customHeight="1" x14ac:dyDescent="0.2">
      <c r="A12" s="58" t="s">
        <v>6</v>
      </c>
      <c r="B12" s="58"/>
      <c r="C12" s="58"/>
      <c r="D12" s="58"/>
      <c r="E12" s="58"/>
      <c r="F12" s="58"/>
      <c r="G12" s="58"/>
    </row>
    <row r="13" spans="1:7" ht="30" customHeight="1" x14ac:dyDescent="0.2">
      <c r="A13" s="5" t="s">
        <v>7</v>
      </c>
      <c r="B13" s="5" t="s">
        <v>8</v>
      </c>
      <c r="C13" s="5" t="s">
        <v>82</v>
      </c>
      <c r="D13" s="5" t="s">
        <v>9</v>
      </c>
      <c r="E13" s="5" t="s">
        <v>10</v>
      </c>
      <c r="F13" s="5" t="s">
        <v>11</v>
      </c>
      <c r="G13" s="5" t="s">
        <v>12</v>
      </c>
    </row>
    <row r="14" spans="1:7" ht="21.75" customHeight="1" x14ac:dyDescent="0.2">
      <c r="A14" s="6" t="str">
        <f>IF(INDEX('Daily Plan'!$A:$A,1+($B$10-1)*7+1)=0,"—",TEXT(INDEX('Daily Plan'!$C:$C,1+($B$10-1)*7+1),"ddd, mmm d"))</f>
        <v>Sat, Jul 18</v>
      </c>
      <c r="B14" s="7" t="str">
        <f>IF(INDEX('Daily Plan'!$A:$A,1+($B$10-1)*7+1)=0,"—",INDEX('Daily Plan'!$D:$D,1+($B$10-1)*7+1))</f>
        <v>Saturday</v>
      </c>
      <c r="C14" s="8" t="str">
        <f>IF(INDEX('Daily Plan'!$A:$A,1+($B$10-1)*7+1)=0,"—",INDEX('Daily Plan'!$E:$E,1+($B$10-1)*7+1))</f>
        <v>off</v>
      </c>
      <c r="D14" s="8" t="str">
        <f>IF(INDEX('Daily Plan'!$A:$A,1+($B$10-1)*7+1)=0,"—",INDEX('Daily Plan'!$F:$F,1+($B$10-1)*7+1))</f>
        <v>—</v>
      </c>
      <c r="E14" s="6" t="str">
        <f>IF(INDEX('Daily Plan'!$A:$A,1+($B$10-1)*7+1)=0,"—",INDEX('Daily Plan'!$G:$G,1+($B$10-1)*7+1))</f>
        <v>Rest</v>
      </c>
      <c r="F14" s="6">
        <f>IF(INDEX('Daily Plan'!$A:$A,1+($B$10-1)*7+1)=0,"—",INDEX('Daily Plan'!$H:$H,1+($B$10-1)*7+1))</f>
        <v>0</v>
      </c>
      <c r="G14" s="6" t="str">
        <f>IF(INDEX('Daily Plan'!$A:$A,1+($B$10-1)*7+1)=0,"—",INDEX('Daily Plan'!$I:$I,1+($B$10-1)*7+1))</f>
        <v>—</v>
      </c>
    </row>
    <row r="15" spans="1:7" ht="21.75" customHeight="1" x14ac:dyDescent="0.2">
      <c r="A15" s="6" t="str">
        <f>IF(INDEX('Daily Plan'!$A:$A,1+($B$10-1)*7+2)=0,"—",TEXT(INDEX('Daily Plan'!$C:$C,1+($B$10-1)*7+2),"ddd, mmm d"))</f>
        <v>Sun, Jul 19</v>
      </c>
      <c r="B15" s="7" t="str">
        <f>IF(INDEX('Daily Plan'!$A:$A,1+($B$10-1)*7+2)=0,"—",INDEX('Daily Plan'!$D:$D,1+($B$10-1)*7+2))</f>
        <v>Sunday</v>
      </c>
      <c r="C15" s="8" t="str">
        <f>IF(INDEX('Daily Plan'!$A:$A,1+($B$10-1)*7+2)=0,"—",INDEX('Daily Plan'!$E:$E,1+($B$10-1)*7+2))</f>
        <v>20 min easy</v>
      </c>
      <c r="D15" s="8" t="str">
        <f>IF(INDEX('Daily Plan'!$A:$A,1+($B$10-1)*7+2)=0,"—",INDEX('Daily Plan'!$F:$F,1+($B$10-1)*7+2))</f>
        <v>—</v>
      </c>
      <c r="E15" s="6" t="str">
        <f>IF(INDEX('Daily Plan'!$A:$A,1+($B$10-1)*7+2)=0,"—",INDEX('Daily Plan'!$G:$G,1+($B$10-1)*7+2))</f>
        <v>Easy</v>
      </c>
      <c r="F15" s="6">
        <f>IF(INDEX('Daily Plan'!$A:$A,1+($B$10-1)*7+2)=0,"—",INDEX('Daily Plan'!$H:$H,1+($B$10-1)*7+2))</f>
        <v>20</v>
      </c>
      <c r="G15" s="6" t="str">
        <f>IF(INDEX('Daily Plan'!$A:$A,1+($B$10-1)*7+2)=0,"—",INDEX('Daily Plan'!$I:$I,1+($B$10-1)*7+2))</f>
        <v>No</v>
      </c>
    </row>
    <row r="16" spans="1:7" ht="21.75" customHeight="1" x14ac:dyDescent="0.2">
      <c r="A16" s="6" t="str">
        <f>IF(INDEX('Daily Plan'!$A:$A,1+($B$10-1)*7+3)=0,"—",TEXT(INDEX('Daily Plan'!$C:$C,1+($B$10-1)*7+3),"ddd, mmm d"))</f>
        <v>Mon, Jul 20</v>
      </c>
      <c r="B16" s="7" t="str">
        <f>IF(INDEX('Daily Plan'!$A:$A,1+($B$10-1)*7+3)=0,"—",INDEX('Daily Plan'!$D:$D,1+($B$10-1)*7+3))</f>
        <v>Monday</v>
      </c>
      <c r="C16" s="8" t="str">
        <f>IF(INDEX('Daily Plan'!$A:$A,1+($B$10-1)*7+3)=0,"—",INDEX('Daily Plan'!$E:$E,1+($B$10-1)*7+3))</f>
        <v>off</v>
      </c>
      <c r="D16" s="8" t="str">
        <f>IF(INDEX('Daily Plan'!$A:$A,1+($B$10-1)*7+3)=0,"—",INDEX('Daily Plan'!$F:$F,1+($B$10-1)*7+3))</f>
        <v>—</v>
      </c>
      <c r="E16" s="6" t="str">
        <f>IF(INDEX('Daily Plan'!$A:$A,1+($B$10-1)*7+3)=0,"—",INDEX('Daily Plan'!$G:$G,1+($B$10-1)*7+3))</f>
        <v>Rest</v>
      </c>
      <c r="F16" s="6">
        <f>IF(INDEX('Daily Plan'!$A:$A,1+($B$10-1)*7+3)=0,"—",INDEX('Daily Plan'!$H:$H,1+($B$10-1)*7+3))</f>
        <v>0</v>
      </c>
      <c r="G16" s="6" t="str">
        <f>IF(INDEX('Daily Plan'!$A:$A,1+($B$10-1)*7+3)=0,"—",INDEX('Daily Plan'!$I:$I,1+($B$10-1)*7+3))</f>
        <v>—</v>
      </c>
    </row>
    <row r="17" spans="1:7" ht="21.75" customHeight="1" x14ac:dyDescent="0.2">
      <c r="A17" s="6" t="str">
        <f>IF(INDEX('Daily Plan'!$A:$A,1+($B$10-1)*7+4)=0,"—",TEXT(INDEX('Daily Plan'!$C:$C,1+($B$10-1)*7+4),"ddd, mmm d"))</f>
        <v>Tue, Jul 21</v>
      </c>
      <c r="B17" s="7" t="str">
        <f>IF(INDEX('Daily Plan'!$A:$A,1+($B$10-1)*7+4)=0,"—",INDEX('Daily Plan'!$D:$D,1+($B$10-1)*7+4))</f>
        <v>Tuesday</v>
      </c>
      <c r="C17" s="8" t="str">
        <f>IF(INDEX('Daily Plan'!$A:$A,1+($B$10-1)*7+4)=0,"—",INDEX('Daily Plan'!$E:$E,1+($B$10-1)*7+4))</f>
        <v>20 min easy</v>
      </c>
      <c r="D17" s="8" t="str">
        <f>IF(INDEX('Daily Plan'!$A:$A,1+($B$10-1)*7+4)=0,"—",INDEX('Daily Plan'!$F:$F,1+($B$10-1)*7+4))</f>
        <v>—</v>
      </c>
      <c r="E17" s="6" t="str">
        <f>IF(INDEX('Daily Plan'!$A:$A,1+($B$10-1)*7+4)=0,"—",INDEX('Daily Plan'!$G:$G,1+($B$10-1)*7+4))</f>
        <v>Easy</v>
      </c>
      <c r="F17" s="6">
        <f>IF(INDEX('Daily Plan'!$A:$A,1+($B$10-1)*7+4)=0,"—",INDEX('Daily Plan'!$H:$H,1+($B$10-1)*7+4))</f>
        <v>20</v>
      </c>
      <c r="G17" s="6" t="str">
        <f>IF(INDEX('Daily Plan'!$A:$A,1+($B$10-1)*7+4)=0,"—",INDEX('Daily Plan'!$I:$I,1+($B$10-1)*7+4))</f>
        <v>No</v>
      </c>
    </row>
    <row r="18" spans="1:7" ht="21.75" customHeight="1" x14ac:dyDescent="0.2">
      <c r="A18" s="6" t="str">
        <f>IF(INDEX('Daily Plan'!$A:$A,1+($B$10-1)*7+5)=0,"—",TEXT(INDEX('Daily Plan'!$C:$C,1+($B$10-1)*7+5),"ddd, mmm d"))</f>
        <v>Wed, Jul 22</v>
      </c>
      <c r="B18" s="7" t="str">
        <f>IF(INDEX('Daily Plan'!$A:$A,1+($B$10-1)*7+5)=0,"—",INDEX('Daily Plan'!$D:$D,1+($B$10-1)*7+5))</f>
        <v>Wednesday</v>
      </c>
      <c r="C18" s="8" t="str">
        <f>IF(INDEX('Daily Plan'!$A:$A,1+($B$10-1)*7+5)=0,"—",INDEX('Daily Plan'!$E:$E,1+($B$10-1)*7+5))</f>
        <v>off</v>
      </c>
      <c r="D18" s="8" t="str">
        <f>IF(INDEX('Daily Plan'!$A:$A,1+($B$10-1)*7+5)=0,"—",INDEX('Daily Plan'!$F:$F,1+($B$10-1)*7+5))</f>
        <v>—</v>
      </c>
      <c r="E18" s="6" t="str">
        <f>IF(INDEX('Daily Plan'!$A:$A,1+($B$10-1)*7+5)=0,"—",INDEX('Daily Plan'!$G:$G,1+($B$10-1)*7+5))</f>
        <v>Rest</v>
      </c>
      <c r="F18" s="6">
        <f>IF(INDEX('Daily Plan'!$A:$A,1+($B$10-1)*7+5)=0,"—",INDEX('Daily Plan'!$H:$H,1+($B$10-1)*7+5))</f>
        <v>0</v>
      </c>
      <c r="G18" s="6" t="str">
        <f>IF(INDEX('Daily Plan'!$A:$A,1+($B$10-1)*7+5)=0,"—",INDEX('Daily Plan'!$I:$I,1+($B$10-1)*7+5))</f>
        <v>—</v>
      </c>
    </row>
    <row r="19" spans="1:7" ht="21.75" customHeight="1" x14ac:dyDescent="0.2">
      <c r="A19" s="6" t="str">
        <f>IF(INDEX('Daily Plan'!$A:$A,1+($B$10-1)*7+6)=0,"—",TEXT(INDEX('Daily Plan'!$C:$C,1+($B$10-1)*7+6),"ddd, mmm d"))</f>
        <v>Thu, Jul 23</v>
      </c>
      <c r="B19" s="7" t="str">
        <f>IF(INDEX('Daily Plan'!$A:$A,1+($B$10-1)*7+6)=0,"—",INDEX('Daily Plan'!$D:$D,1+($B$10-1)*7+6))</f>
        <v>Thursday</v>
      </c>
      <c r="C19" s="8" t="str">
        <f>IF(INDEX('Daily Plan'!$A:$A,1+($B$10-1)*7+6)=0,"—",INDEX('Daily Plan'!$E:$E,1+($B$10-1)*7+6))</f>
        <v>20 min easy</v>
      </c>
      <c r="D19" s="8" t="str">
        <f>IF(INDEX('Daily Plan'!$A:$A,1+($B$10-1)*7+6)=0,"—",INDEX('Daily Plan'!$F:$F,1+($B$10-1)*7+6))</f>
        <v>—</v>
      </c>
      <c r="E19" s="6" t="str">
        <f>IF(INDEX('Daily Plan'!$A:$A,1+($B$10-1)*7+6)=0,"—",INDEX('Daily Plan'!$G:$G,1+($B$10-1)*7+6))</f>
        <v>Easy</v>
      </c>
      <c r="F19" s="6">
        <f>IF(INDEX('Daily Plan'!$A:$A,1+($B$10-1)*7+6)=0,"—",INDEX('Daily Plan'!$H:$H,1+($B$10-1)*7+6))</f>
        <v>20</v>
      </c>
      <c r="G19" s="6" t="str">
        <f>IF(INDEX('Daily Plan'!$A:$A,1+($B$10-1)*7+6)=0,"—",INDEX('Daily Plan'!$I:$I,1+($B$10-1)*7+6))</f>
        <v>No</v>
      </c>
    </row>
    <row r="20" spans="1:7" ht="21.75" customHeight="1" x14ac:dyDescent="0.2">
      <c r="A20" s="6" t="str">
        <f>IF(INDEX('Daily Plan'!$A:$A,1+($B$10-1)*7+7)=0,"—",TEXT(INDEX('Daily Plan'!$C:$C,1+($B$10-1)*7+7),"ddd, mmm d"))</f>
        <v>Fri, Jul 24</v>
      </c>
      <c r="B20" s="7" t="str">
        <f>IF(INDEX('Daily Plan'!$A:$A,1+($B$10-1)*7+7)=0,"—",INDEX('Daily Plan'!$D:$D,1+($B$10-1)*7+7))</f>
        <v>Friday</v>
      </c>
      <c r="C20" s="8" t="str">
        <f>IF(INDEX('Daily Plan'!$A:$A,1+($B$10-1)*7+7)=0,"—",INDEX('Daily Plan'!$E:$E,1+($B$10-1)*7+7))</f>
        <v>20 min easy</v>
      </c>
      <c r="D20" s="8" t="str">
        <f>IF(INDEX('Daily Plan'!$A:$A,1+($B$10-1)*7+7)=0,"—",INDEX('Daily Plan'!$F:$F,1+($B$10-1)*7+7))</f>
        <v>—</v>
      </c>
      <c r="E20" s="6" t="str">
        <f>IF(INDEX('Daily Plan'!$A:$A,1+($B$10-1)*7+7)=0,"—",INDEX('Daily Plan'!$G:$G,1+($B$10-1)*7+7))</f>
        <v>Easy</v>
      </c>
      <c r="F20" s="6">
        <f>IF(INDEX('Daily Plan'!$A:$A,1+($B$10-1)*7+7)=0,"—",INDEX('Daily Plan'!$H:$H,1+($B$10-1)*7+7))</f>
        <v>20</v>
      </c>
      <c r="G20" s="6" t="str">
        <f>IF(INDEX('Daily Plan'!$A:$A,1+($B$10-1)*7+7)=0,"—",INDEX('Daily Plan'!$I:$I,1+($B$10-1)*7+7))</f>
        <v>No</v>
      </c>
    </row>
    <row r="21" spans="1:7" x14ac:dyDescent="0.2">
      <c r="E21" s="9" t="s">
        <v>13</v>
      </c>
      <c r="F21" s="10">
        <f>SUMIFS('Daily Plan'!$H:$H,'Daily Plan'!$A:$A,$B$10)</f>
        <v>80</v>
      </c>
      <c r="G21" s="10" t="str">
        <f>COUNTIFS('Daily Plan'!$A:$A,$B$10,'Daily Plan'!$I:$I,"Yes")&amp;" of "&amp;COUNTIFS('Daily Plan'!$A:$A,$B$10,'Daily Plan'!$G:$G,"&lt;&gt;Rest")&amp;" done"</f>
        <v>0 of 4 done</v>
      </c>
    </row>
    <row r="23" spans="1:7" ht="21.75" customHeight="1" x14ac:dyDescent="0.2">
      <c r="A23" s="58" t="s">
        <v>14</v>
      </c>
      <c r="B23" s="58"/>
      <c r="C23" s="58"/>
      <c r="D23" s="58"/>
      <c r="E23" s="58"/>
      <c r="F23" s="58"/>
      <c r="G23" s="58"/>
    </row>
    <row r="24" spans="1:7" x14ac:dyDescent="0.2">
      <c r="A24" s="63" t="s">
        <v>15</v>
      </c>
      <c r="B24" s="63"/>
      <c r="C24" s="63"/>
      <c r="D24" s="63"/>
      <c r="E24" s="11">
        <f>SUM('Daily Plan'!$H$2:$H$79)</f>
        <v>1695</v>
      </c>
    </row>
    <row r="25" spans="1:7" x14ac:dyDescent="0.2">
      <c r="A25" s="63" t="s">
        <v>16</v>
      </c>
      <c r="B25" s="63"/>
      <c r="C25" s="63"/>
      <c r="D25" s="63"/>
      <c r="E25" s="11">
        <f>SUM('Daily Plan'!$J$2:$J$79)</f>
        <v>0</v>
      </c>
    </row>
    <row r="26" spans="1:7" x14ac:dyDescent="0.2">
      <c r="A26" s="63" t="s">
        <v>17</v>
      </c>
      <c r="B26" s="63"/>
      <c r="C26" s="63"/>
      <c r="D26" s="63"/>
      <c r="E26" s="12">
        <f>SUM('Daily Plan'!$K$2:$K$79)</f>
        <v>0</v>
      </c>
    </row>
    <row r="27" spans="1:7" x14ac:dyDescent="0.2">
      <c r="A27" s="63" t="s">
        <v>18</v>
      </c>
      <c r="B27" s="63"/>
      <c r="C27" s="63"/>
      <c r="D27" s="63"/>
      <c r="E27" s="10" t="str">
        <f>COUNTIF('Daily Plan'!$I$2:$I$79,"Yes")&amp;" of "&amp;COUNTIF('Daily Plan'!$G$2:$G$79,"&lt;&gt;Rest")</f>
        <v>0 of 55</v>
      </c>
    </row>
    <row r="28" spans="1:7" x14ac:dyDescent="0.2">
      <c r="A28" s="63" t="s">
        <v>19</v>
      </c>
      <c r="B28" s="63"/>
      <c r="C28" s="63"/>
      <c r="D28" s="63"/>
      <c r="E28" s="13">
        <f>IFERROR(SUM('Daily Plan'!$J$2:$J$79)/SUM('Daily Plan'!$H$2:$H$79),0)</f>
        <v>0</v>
      </c>
    </row>
    <row r="30" spans="1:7" ht="21.75" customHeight="1" x14ac:dyDescent="0.2">
      <c r="A30" s="58" t="s">
        <v>20</v>
      </c>
      <c r="B30" s="58"/>
      <c r="C30" s="58"/>
      <c r="D30" s="58"/>
      <c r="E30" s="58"/>
      <c r="F30" s="58"/>
      <c r="G30" s="58"/>
    </row>
    <row r="31" spans="1:7" ht="30" customHeight="1" x14ac:dyDescent="0.2">
      <c r="A31" s="5" t="s">
        <v>21</v>
      </c>
      <c r="B31" s="5" t="s">
        <v>22</v>
      </c>
      <c r="C31" s="5"/>
      <c r="D31" s="5"/>
      <c r="E31" s="5"/>
      <c r="F31" s="5"/>
      <c r="G31" s="5"/>
    </row>
    <row r="32" spans="1:7" ht="25.5" customHeight="1" x14ac:dyDescent="0.2">
      <c r="A32" s="14" t="s">
        <v>23</v>
      </c>
      <c r="B32" s="64" t="s">
        <v>24</v>
      </c>
      <c r="C32" s="64"/>
      <c r="D32" s="64"/>
      <c r="E32" s="64"/>
      <c r="F32" s="64"/>
      <c r="G32" s="64"/>
    </row>
    <row r="33" spans="1:7" ht="25.5" customHeight="1" x14ac:dyDescent="0.2">
      <c r="A33" s="14" t="s">
        <v>25</v>
      </c>
      <c r="B33" s="64" t="s">
        <v>26</v>
      </c>
      <c r="C33" s="64"/>
      <c r="D33" s="64"/>
      <c r="E33" s="64"/>
      <c r="F33" s="64"/>
      <c r="G33" s="64"/>
    </row>
    <row r="34" spans="1:7" ht="25.5" customHeight="1" x14ac:dyDescent="0.2">
      <c r="A34" s="14" t="s">
        <v>27</v>
      </c>
      <c r="B34" s="64" t="s">
        <v>28</v>
      </c>
      <c r="C34" s="64"/>
      <c r="D34" s="64"/>
      <c r="E34" s="64"/>
      <c r="F34" s="64"/>
      <c r="G34" s="64"/>
    </row>
    <row r="35" spans="1:7" ht="25.5" customHeight="1" x14ac:dyDescent="0.2">
      <c r="A35" s="14" t="s">
        <v>29</v>
      </c>
      <c r="B35" s="64" t="s">
        <v>30</v>
      </c>
      <c r="C35" s="64"/>
      <c r="D35" s="64"/>
      <c r="E35" s="64"/>
      <c r="F35" s="64"/>
      <c r="G35" s="64"/>
    </row>
    <row r="36" spans="1:7" ht="25.5" customHeight="1" x14ac:dyDescent="0.2">
      <c r="A36" s="14" t="s">
        <v>31</v>
      </c>
      <c r="B36" s="64" t="s">
        <v>32</v>
      </c>
      <c r="C36" s="64"/>
      <c r="D36" s="64"/>
      <c r="E36" s="64"/>
      <c r="F36" s="64"/>
      <c r="G36" s="64"/>
    </row>
    <row r="37" spans="1:7" ht="25.5" customHeight="1" x14ac:dyDescent="0.2">
      <c r="A37" s="14" t="s">
        <v>33</v>
      </c>
      <c r="B37" s="64" t="s">
        <v>34</v>
      </c>
      <c r="C37" s="64"/>
      <c r="D37" s="64"/>
      <c r="E37" s="64"/>
      <c r="F37" s="64"/>
      <c r="G37" s="64"/>
    </row>
    <row r="39" spans="1:7" ht="21.75" customHeight="1" x14ac:dyDescent="0.2">
      <c r="A39" s="58" t="s">
        <v>35</v>
      </c>
      <c r="B39" s="58"/>
      <c r="C39" s="58"/>
      <c r="D39" s="58"/>
      <c r="E39" s="58"/>
      <c r="F39" s="58"/>
      <c r="G39" s="58"/>
    </row>
    <row r="40" spans="1:7" ht="30" customHeight="1" x14ac:dyDescent="0.2">
      <c r="A40" s="5" t="s">
        <v>12</v>
      </c>
      <c r="B40" s="5" t="s">
        <v>36</v>
      </c>
      <c r="C40" s="5" t="s">
        <v>37</v>
      </c>
      <c r="D40" s="5" t="s">
        <v>38</v>
      </c>
      <c r="E40" s="5" t="s">
        <v>39</v>
      </c>
      <c r="F40" s="5"/>
      <c r="G40" s="5"/>
    </row>
    <row r="41" spans="1:7" ht="25.5" customHeight="1" x14ac:dyDescent="0.2">
      <c r="A41" s="15" t="s">
        <v>40</v>
      </c>
      <c r="B41" s="15">
        <v>30</v>
      </c>
      <c r="C41" s="15" t="s">
        <v>41</v>
      </c>
      <c r="D41" s="15" t="s">
        <v>42</v>
      </c>
      <c r="E41" s="65" t="s">
        <v>43</v>
      </c>
      <c r="F41" s="65"/>
      <c r="G41" s="65"/>
    </row>
    <row r="42" spans="1:7" ht="15" customHeight="1" x14ac:dyDescent="0.2">
      <c r="A42" s="66" t="s">
        <v>44</v>
      </c>
      <c r="B42" s="66"/>
      <c r="C42" s="66"/>
      <c r="D42" s="66"/>
      <c r="E42" s="66"/>
      <c r="F42" s="66"/>
      <c r="G42" s="66"/>
    </row>
    <row r="44" spans="1:7" ht="21.75" customHeight="1" x14ac:dyDescent="0.2">
      <c r="A44" s="70"/>
      <c r="B44" s="70"/>
      <c r="C44" s="70"/>
      <c r="D44" s="70"/>
      <c r="E44" s="70"/>
      <c r="F44" s="70"/>
      <c r="G44" s="70"/>
    </row>
    <row r="45" spans="1:7" ht="15" customHeight="1" x14ac:dyDescent="0.2">
      <c r="A45" s="67"/>
      <c r="B45" s="67"/>
      <c r="C45" s="67"/>
      <c r="D45" s="67"/>
      <c r="E45" s="67"/>
      <c r="F45" s="67"/>
      <c r="G45" s="67"/>
    </row>
    <row r="46" spans="1:7" ht="15" customHeight="1" x14ac:dyDescent="0.2">
      <c r="A46" s="67"/>
      <c r="B46" s="67"/>
      <c r="C46" s="67"/>
      <c r="D46" s="67"/>
      <c r="E46" s="67"/>
      <c r="F46" s="67"/>
      <c r="G46" s="67"/>
    </row>
    <row r="47" spans="1:7" ht="15" customHeight="1" x14ac:dyDescent="0.2">
      <c r="A47" s="67"/>
      <c r="B47" s="67"/>
      <c r="C47" s="67"/>
      <c r="D47" s="67"/>
      <c r="E47" s="67"/>
      <c r="F47" s="67"/>
      <c r="G47" s="67"/>
    </row>
    <row r="48" spans="1:7" ht="15" customHeight="1" x14ac:dyDescent="0.2">
      <c r="A48" s="67"/>
      <c r="B48" s="67"/>
      <c r="C48" s="67"/>
      <c r="D48" s="67"/>
      <c r="E48" s="67"/>
      <c r="F48" s="67"/>
      <c r="G48" s="67"/>
    </row>
    <row r="49" spans="1:7" ht="15" customHeight="1" x14ac:dyDescent="0.2">
      <c r="A49" s="67"/>
      <c r="B49" s="67"/>
      <c r="C49" s="67"/>
      <c r="D49" s="67"/>
      <c r="E49" s="67"/>
      <c r="F49" s="67"/>
      <c r="G49" s="67"/>
    </row>
    <row r="50" spans="1:7" ht="15" customHeight="1" x14ac:dyDescent="0.2">
      <c r="A50" s="67"/>
      <c r="B50" s="67"/>
      <c r="C50" s="67"/>
      <c r="D50" s="67"/>
      <c r="E50" s="67"/>
      <c r="F50" s="67"/>
      <c r="G50" s="67"/>
    </row>
  </sheetData>
  <mergeCells count="31">
    <mergeCell ref="A50:G50"/>
    <mergeCell ref="A45:G45"/>
    <mergeCell ref="A46:G46"/>
    <mergeCell ref="A47:G47"/>
    <mergeCell ref="A48:G48"/>
    <mergeCell ref="A49:G49"/>
    <mergeCell ref="B37:G37"/>
    <mergeCell ref="A39:G39"/>
    <mergeCell ref="E41:G41"/>
    <mergeCell ref="A42:G42"/>
    <mergeCell ref="A44:G44"/>
    <mergeCell ref="B32:G32"/>
    <mergeCell ref="B33:G33"/>
    <mergeCell ref="B34:G34"/>
    <mergeCell ref="B35:G35"/>
    <mergeCell ref="B36:G36"/>
    <mergeCell ref="A25:D25"/>
    <mergeCell ref="A26:D26"/>
    <mergeCell ref="A27:D27"/>
    <mergeCell ref="A28:D28"/>
    <mergeCell ref="A30:G30"/>
    <mergeCell ref="A9:G9"/>
    <mergeCell ref="C10:G10"/>
    <mergeCell ref="A12:G12"/>
    <mergeCell ref="A23:G23"/>
    <mergeCell ref="A24:D24"/>
    <mergeCell ref="A2:G2"/>
    <mergeCell ref="A4:G4"/>
    <mergeCell ref="B5:C5"/>
    <mergeCell ref="A6:G6"/>
    <mergeCell ref="A7:G7"/>
  </mergeCells>
  <dataValidations count="2">
    <dataValidation type="date" operator="greaterThan" error="Enter a real date, e.g. 26 Jul 2026." sqref="B5" xr:uid="{00000000-0002-0000-0000-000000000000}">
      <formula1>DATE(2020,1,1)</formula1>
      <formula2>0</formula2>
    </dataValidation>
    <dataValidation type="whole" error="This plan runs from week 1 to week 12." sqref="B10" xr:uid="{00000000-0002-0000-0000-000001000000}">
      <formula1>1</formula1>
      <formula2>12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85"/>
  <sheetViews>
    <sheetView zoomScale="110" zoomScaleNormal="11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F1" sqref="F1"/>
    </sheetView>
  </sheetViews>
  <sheetFormatPr baseColWidth="10" defaultColWidth="8.6640625" defaultRowHeight="15" x14ac:dyDescent="0.2"/>
  <cols>
    <col min="1" max="1" width="6" customWidth="1"/>
    <col min="2" max="2" width="5" customWidth="1"/>
    <col min="3" max="3" width="13" customWidth="1"/>
    <col min="4" max="4" width="12" customWidth="1"/>
    <col min="5" max="5" width="16" customWidth="1"/>
    <col min="6" max="6" width="20" customWidth="1"/>
    <col min="7" max="7" width="10" customWidth="1"/>
    <col min="8" max="9" width="9" customWidth="1"/>
    <col min="10" max="10" width="10" customWidth="1"/>
    <col min="11" max="11" width="12" customWidth="1"/>
    <col min="12" max="12" width="9" customWidth="1"/>
    <col min="13" max="13" width="53.5" customWidth="1"/>
  </cols>
  <sheetData>
    <row r="1" spans="1:13" ht="30" customHeight="1" x14ac:dyDescent="0.2">
      <c r="A1" s="5" t="s">
        <v>45</v>
      </c>
      <c r="B1" s="5" t="s">
        <v>8</v>
      </c>
      <c r="C1" s="5" t="s">
        <v>7</v>
      </c>
      <c r="D1" s="5" t="s">
        <v>46</v>
      </c>
      <c r="E1" s="5" t="s">
        <v>82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36</v>
      </c>
      <c r="K1" s="5" t="s">
        <v>37</v>
      </c>
      <c r="L1" s="5" t="s">
        <v>38</v>
      </c>
      <c r="M1" s="5" t="s">
        <v>39</v>
      </c>
    </row>
    <row r="2" spans="1:13" ht="19.5" customHeight="1" x14ac:dyDescent="0.2">
      <c r="A2" s="16">
        <v>1</v>
      </c>
      <c r="B2" s="16">
        <v>1</v>
      </c>
      <c r="C2" s="17">
        <f>IF('Start Here'!$B$5="","",'Start Here'!$B$5+ROW()-2)</f>
        <v>46221</v>
      </c>
      <c r="D2" s="18" t="str">
        <f t="shared" ref="D2:D33" si="0">IF($C2="","",TEXT($C2,"dddd"))</f>
        <v>Saturday</v>
      </c>
      <c r="E2" s="19" t="s">
        <v>31</v>
      </c>
      <c r="F2" s="19" t="s">
        <v>47</v>
      </c>
      <c r="G2" s="16" t="s">
        <v>48</v>
      </c>
      <c r="H2" s="16">
        <v>0</v>
      </c>
      <c r="I2" s="20" t="s">
        <v>47</v>
      </c>
      <c r="J2" s="21"/>
      <c r="K2" s="22"/>
      <c r="L2" s="21"/>
      <c r="M2" s="23"/>
    </row>
    <row r="3" spans="1:13" ht="19.5" customHeight="1" x14ac:dyDescent="0.2">
      <c r="A3" s="24">
        <v>1</v>
      </c>
      <c r="B3" s="24">
        <v>2</v>
      </c>
      <c r="C3" s="25">
        <f>IF('Start Here'!$B$5="","",'Start Here'!$B$5+ROW()-2)</f>
        <v>46222</v>
      </c>
      <c r="D3" s="26" t="str">
        <f t="shared" si="0"/>
        <v>Sunday</v>
      </c>
      <c r="E3" s="27" t="s">
        <v>49</v>
      </c>
      <c r="F3" s="27" t="s">
        <v>47</v>
      </c>
      <c r="G3" s="24" t="s">
        <v>50</v>
      </c>
      <c r="H3" s="24">
        <v>20</v>
      </c>
      <c r="I3" s="20" t="s">
        <v>51</v>
      </c>
      <c r="J3" s="21"/>
      <c r="K3" s="22"/>
      <c r="L3" s="21"/>
      <c r="M3" s="23"/>
    </row>
    <row r="4" spans="1:13" ht="19.5" customHeight="1" x14ac:dyDescent="0.2">
      <c r="A4" s="16">
        <v>1</v>
      </c>
      <c r="B4" s="16">
        <v>3</v>
      </c>
      <c r="C4" s="17">
        <f>IF('Start Here'!$B$5="","",'Start Here'!$B$5+ROW()-2)</f>
        <v>46223</v>
      </c>
      <c r="D4" s="18" t="str">
        <f t="shared" si="0"/>
        <v>Monday</v>
      </c>
      <c r="E4" s="19" t="s">
        <v>31</v>
      </c>
      <c r="F4" s="19" t="s">
        <v>47</v>
      </c>
      <c r="G4" s="16" t="s">
        <v>48</v>
      </c>
      <c r="H4" s="16">
        <v>0</v>
      </c>
      <c r="I4" s="20" t="s">
        <v>47</v>
      </c>
      <c r="J4" s="21"/>
      <c r="K4" s="22"/>
      <c r="L4" s="21"/>
      <c r="M4" s="23"/>
    </row>
    <row r="5" spans="1:13" ht="19.5" customHeight="1" x14ac:dyDescent="0.2">
      <c r="A5" s="24">
        <v>1</v>
      </c>
      <c r="B5" s="24">
        <v>4</v>
      </c>
      <c r="C5" s="25">
        <f>IF('Start Here'!$B$5="","",'Start Here'!$B$5+ROW()-2)</f>
        <v>46224</v>
      </c>
      <c r="D5" s="26" t="str">
        <f t="shared" si="0"/>
        <v>Tuesday</v>
      </c>
      <c r="E5" s="27" t="s">
        <v>49</v>
      </c>
      <c r="F5" s="27" t="s">
        <v>47</v>
      </c>
      <c r="G5" s="24" t="s">
        <v>50</v>
      </c>
      <c r="H5" s="24">
        <v>20</v>
      </c>
      <c r="I5" s="20" t="s">
        <v>51</v>
      </c>
      <c r="J5" s="21"/>
      <c r="K5" s="22"/>
      <c r="L5" s="21"/>
      <c r="M5" s="23"/>
    </row>
    <row r="6" spans="1:13" ht="19.5" customHeight="1" x14ac:dyDescent="0.2">
      <c r="A6" s="16">
        <v>1</v>
      </c>
      <c r="B6" s="16">
        <v>5</v>
      </c>
      <c r="C6" s="17">
        <f>IF('Start Here'!$B$5="","",'Start Here'!$B$5+ROW()-2)</f>
        <v>46225</v>
      </c>
      <c r="D6" s="18" t="str">
        <f t="shared" si="0"/>
        <v>Wednesday</v>
      </c>
      <c r="E6" s="19" t="s">
        <v>31</v>
      </c>
      <c r="F6" s="19" t="s">
        <v>47</v>
      </c>
      <c r="G6" s="16" t="s">
        <v>48</v>
      </c>
      <c r="H6" s="16">
        <v>0</v>
      </c>
      <c r="I6" s="20" t="s">
        <v>47</v>
      </c>
      <c r="J6" s="21"/>
      <c r="K6" s="22"/>
      <c r="L6" s="21"/>
      <c r="M6" s="23"/>
    </row>
    <row r="7" spans="1:13" ht="19.5" customHeight="1" x14ac:dyDescent="0.2">
      <c r="A7" s="24">
        <v>1</v>
      </c>
      <c r="B7" s="24">
        <v>6</v>
      </c>
      <c r="C7" s="25">
        <f>IF('Start Here'!$B$5="","",'Start Here'!$B$5+ROW()-2)</f>
        <v>46226</v>
      </c>
      <c r="D7" s="26" t="str">
        <f t="shared" si="0"/>
        <v>Thursday</v>
      </c>
      <c r="E7" s="27" t="s">
        <v>49</v>
      </c>
      <c r="F7" s="27" t="s">
        <v>47</v>
      </c>
      <c r="G7" s="24" t="s">
        <v>50</v>
      </c>
      <c r="H7" s="24">
        <v>20</v>
      </c>
      <c r="I7" s="20" t="s">
        <v>51</v>
      </c>
      <c r="J7" s="21"/>
      <c r="K7" s="22"/>
      <c r="L7" s="21"/>
      <c r="M7" s="23"/>
    </row>
    <row r="8" spans="1:13" ht="19.5" customHeight="1" x14ac:dyDescent="0.2">
      <c r="A8" s="28">
        <v>1</v>
      </c>
      <c r="B8" s="28">
        <v>7</v>
      </c>
      <c r="C8" s="29">
        <f>IF('Start Here'!$B$5="","",'Start Here'!$B$5+ROW()-2)</f>
        <v>46227</v>
      </c>
      <c r="D8" s="30" t="str">
        <f t="shared" si="0"/>
        <v>Friday</v>
      </c>
      <c r="E8" s="31" t="s">
        <v>49</v>
      </c>
      <c r="F8" s="31" t="s">
        <v>47</v>
      </c>
      <c r="G8" s="28" t="s">
        <v>50</v>
      </c>
      <c r="H8" s="28">
        <v>20</v>
      </c>
      <c r="I8" s="32" t="s">
        <v>51</v>
      </c>
      <c r="J8" s="33"/>
      <c r="K8" s="34"/>
      <c r="L8" s="33"/>
      <c r="M8" s="35"/>
    </row>
    <row r="9" spans="1:13" ht="19.5" customHeight="1" x14ac:dyDescent="0.2">
      <c r="A9" s="24">
        <v>2</v>
      </c>
      <c r="B9" s="24">
        <v>1</v>
      </c>
      <c r="C9" s="25">
        <f>IF('Start Here'!$B$5="","",'Start Here'!$B$5+ROW()-2)</f>
        <v>46228</v>
      </c>
      <c r="D9" s="26" t="str">
        <f t="shared" si="0"/>
        <v>Saturday</v>
      </c>
      <c r="E9" s="27" t="s">
        <v>49</v>
      </c>
      <c r="F9" s="27" t="s">
        <v>47</v>
      </c>
      <c r="G9" s="24" t="s">
        <v>50</v>
      </c>
      <c r="H9" s="24">
        <v>20</v>
      </c>
      <c r="I9" s="20" t="s">
        <v>51</v>
      </c>
      <c r="J9" s="21"/>
      <c r="K9" s="22"/>
      <c r="L9" s="21"/>
      <c r="M9" s="23"/>
    </row>
    <row r="10" spans="1:13" ht="19.5" customHeight="1" x14ac:dyDescent="0.2">
      <c r="A10" s="16">
        <v>2</v>
      </c>
      <c r="B10" s="16">
        <v>2</v>
      </c>
      <c r="C10" s="17">
        <f>IF('Start Here'!$B$5="","",'Start Here'!$B$5+ROW()-2)</f>
        <v>46229</v>
      </c>
      <c r="D10" s="18" t="str">
        <f t="shared" si="0"/>
        <v>Sunday</v>
      </c>
      <c r="E10" s="19" t="s">
        <v>31</v>
      </c>
      <c r="F10" s="19" t="s">
        <v>47</v>
      </c>
      <c r="G10" s="16" t="s">
        <v>48</v>
      </c>
      <c r="H10" s="16">
        <v>0</v>
      </c>
      <c r="I10" s="20" t="s">
        <v>47</v>
      </c>
      <c r="J10" s="21"/>
      <c r="K10" s="22"/>
      <c r="L10" s="21"/>
      <c r="M10" s="23"/>
    </row>
    <row r="11" spans="1:13" ht="19.5" customHeight="1" x14ac:dyDescent="0.2">
      <c r="A11" s="24">
        <v>2</v>
      </c>
      <c r="B11" s="24">
        <v>3</v>
      </c>
      <c r="C11" s="25">
        <f>IF('Start Here'!$B$5="","",'Start Here'!$B$5+ROW()-2)</f>
        <v>46230</v>
      </c>
      <c r="D11" s="26" t="str">
        <f t="shared" si="0"/>
        <v>Monday</v>
      </c>
      <c r="E11" s="27" t="s">
        <v>52</v>
      </c>
      <c r="F11" s="27" t="s">
        <v>47</v>
      </c>
      <c r="G11" s="24" t="s">
        <v>50</v>
      </c>
      <c r="H11" s="24">
        <v>25</v>
      </c>
      <c r="I11" s="20" t="s">
        <v>51</v>
      </c>
      <c r="J11" s="21"/>
      <c r="K11" s="22"/>
      <c r="L11" s="21"/>
      <c r="M11" s="23"/>
    </row>
    <row r="12" spans="1:13" ht="19.5" customHeight="1" x14ac:dyDescent="0.2">
      <c r="A12" s="24">
        <v>2</v>
      </c>
      <c r="B12" s="24">
        <v>4</v>
      </c>
      <c r="C12" s="25">
        <f>IF('Start Here'!$B$5="","",'Start Here'!$B$5+ROW()-2)</f>
        <v>46231</v>
      </c>
      <c r="D12" s="26" t="str">
        <f t="shared" si="0"/>
        <v>Tuesday</v>
      </c>
      <c r="E12" s="27" t="s">
        <v>52</v>
      </c>
      <c r="F12" s="27" t="s">
        <v>47</v>
      </c>
      <c r="G12" s="24" t="s">
        <v>50</v>
      </c>
      <c r="H12" s="24">
        <v>25</v>
      </c>
      <c r="I12" s="20" t="s">
        <v>51</v>
      </c>
      <c r="J12" s="21"/>
      <c r="K12" s="22"/>
      <c r="L12" s="21"/>
      <c r="M12" s="23"/>
    </row>
    <row r="13" spans="1:13" ht="19.5" customHeight="1" x14ac:dyDescent="0.2">
      <c r="A13" s="16">
        <v>2</v>
      </c>
      <c r="B13" s="16">
        <v>5</v>
      </c>
      <c r="C13" s="17">
        <f>IF('Start Here'!$B$5="","",'Start Here'!$B$5+ROW()-2)</f>
        <v>46232</v>
      </c>
      <c r="D13" s="18" t="str">
        <f t="shared" si="0"/>
        <v>Wednesday</v>
      </c>
      <c r="E13" s="19" t="s">
        <v>31</v>
      </c>
      <c r="F13" s="19" t="s">
        <v>47</v>
      </c>
      <c r="G13" s="16" t="s">
        <v>48</v>
      </c>
      <c r="H13" s="16">
        <v>0</v>
      </c>
      <c r="I13" s="20" t="s">
        <v>47</v>
      </c>
      <c r="J13" s="21"/>
      <c r="K13" s="22"/>
      <c r="L13" s="21"/>
      <c r="M13" s="23"/>
    </row>
    <row r="14" spans="1:13" ht="19.5" customHeight="1" x14ac:dyDescent="0.2">
      <c r="A14" s="24">
        <v>2</v>
      </c>
      <c r="B14" s="24">
        <v>6</v>
      </c>
      <c r="C14" s="25">
        <f>IF('Start Here'!$B$5="","",'Start Here'!$B$5+ROW()-2)</f>
        <v>46233</v>
      </c>
      <c r="D14" s="26" t="str">
        <f t="shared" si="0"/>
        <v>Thursday</v>
      </c>
      <c r="E14" s="27" t="s">
        <v>49</v>
      </c>
      <c r="F14" s="27" t="s">
        <v>47</v>
      </c>
      <c r="G14" s="24" t="s">
        <v>50</v>
      </c>
      <c r="H14" s="24">
        <v>20</v>
      </c>
      <c r="I14" s="20" t="s">
        <v>51</v>
      </c>
      <c r="J14" s="21"/>
      <c r="K14" s="22"/>
      <c r="L14" s="21"/>
      <c r="M14" s="23"/>
    </row>
    <row r="15" spans="1:13" ht="19.5" customHeight="1" x14ac:dyDescent="0.2">
      <c r="A15" s="28">
        <v>2</v>
      </c>
      <c r="B15" s="28">
        <v>7</v>
      </c>
      <c r="C15" s="29">
        <f>IF('Start Here'!$B$5="","",'Start Here'!$B$5+ROW()-2)</f>
        <v>46234</v>
      </c>
      <c r="D15" s="30" t="str">
        <f t="shared" si="0"/>
        <v>Friday</v>
      </c>
      <c r="E15" s="31" t="s">
        <v>52</v>
      </c>
      <c r="F15" s="31" t="s">
        <v>47</v>
      </c>
      <c r="G15" s="28" t="s">
        <v>50</v>
      </c>
      <c r="H15" s="28">
        <v>25</v>
      </c>
      <c r="I15" s="32" t="s">
        <v>51</v>
      </c>
      <c r="J15" s="33"/>
      <c r="K15" s="34"/>
      <c r="L15" s="33"/>
      <c r="M15" s="35"/>
    </row>
    <row r="16" spans="1:13" ht="19.5" customHeight="1" x14ac:dyDescent="0.2">
      <c r="A16" s="24">
        <v>3</v>
      </c>
      <c r="B16" s="24">
        <v>1</v>
      </c>
      <c r="C16" s="25">
        <f>IF('Start Here'!$B$5="","",'Start Here'!$B$5+ROW()-2)</f>
        <v>46235</v>
      </c>
      <c r="D16" s="26" t="str">
        <f t="shared" si="0"/>
        <v>Saturday</v>
      </c>
      <c r="E16" s="27" t="s">
        <v>49</v>
      </c>
      <c r="F16" s="27" t="s">
        <v>47</v>
      </c>
      <c r="G16" s="24" t="s">
        <v>50</v>
      </c>
      <c r="H16" s="24">
        <v>20</v>
      </c>
      <c r="I16" s="20" t="s">
        <v>51</v>
      </c>
      <c r="J16" s="21"/>
      <c r="K16" s="22"/>
      <c r="L16" s="21"/>
      <c r="M16" s="23"/>
    </row>
    <row r="17" spans="1:13" ht="19.5" customHeight="1" x14ac:dyDescent="0.2">
      <c r="A17" s="16">
        <v>3</v>
      </c>
      <c r="B17" s="16">
        <v>2</v>
      </c>
      <c r="C17" s="17">
        <f>IF('Start Here'!$B$5="","",'Start Here'!$B$5+ROW()-2)</f>
        <v>46236</v>
      </c>
      <c r="D17" s="18" t="str">
        <f t="shared" si="0"/>
        <v>Sunday</v>
      </c>
      <c r="E17" s="19" t="s">
        <v>31</v>
      </c>
      <c r="F17" s="19" t="s">
        <v>47</v>
      </c>
      <c r="G17" s="16" t="s">
        <v>48</v>
      </c>
      <c r="H17" s="16">
        <v>0</v>
      </c>
      <c r="I17" s="20" t="s">
        <v>47</v>
      </c>
      <c r="J17" s="21"/>
      <c r="K17" s="22"/>
      <c r="L17" s="21"/>
      <c r="M17" s="23"/>
    </row>
    <row r="18" spans="1:13" ht="19.5" customHeight="1" x14ac:dyDescent="0.2">
      <c r="A18" s="24">
        <v>3</v>
      </c>
      <c r="B18" s="24">
        <v>3</v>
      </c>
      <c r="C18" s="25">
        <f>IF('Start Here'!$B$5="","",'Start Here'!$B$5+ROW()-2)</f>
        <v>46237</v>
      </c>
      <c r="D18" s="26" t="str">
        <f t="shared" si="0"/>
        <v>Monday</v>
      </c>
      <c r="E18" s="27" t="s">
        <v>53</v>
      </c>
      <c r="F18" s="27" t="s">
        <v>47</v>
      </c>
      <c r="G18" s="24" t="s">
        <v>50</v>
      </c>
      <c r="H18" s="24">
        <v>30</v>
      </c>
      <c r="I18" s="20" t="s">
        <v>51</v>
      </c>
      <c r="J18" s="21"/>
      <c r="K18" s="22"/>
      <c r="L18" s="21"/>
      <c r="M18" s="23"/>
    </row>
    <row r="19" spans="1:13" ht="19.5" customHeight="1" x14ac:dyDescent="0.2">
      <c r="A19" s="24">
        <v>3</v>
      </c>
      <c r="B19" s="24">
        <v>4</v>
      </c>
      <c r="C19" s="25">
        <f>IF('Start Here'!$B$5="","",'Start Here'!$B$5+ROW()-2)</f>
        <v>46238</v>
      </c>
      <c r="D19" s="26" t="str">
        <f t="shared" si="0"/>
        <v>Tuesday</v>
      </c>
      <c r="E19" s="27" t="s">
        <v>53</v>
      </c>
      <c r="F19" s="27" t="s">
        <v>47</v>
      </c>
      <c r="G19" s="24" t="s">
        <v>50</v>
      </c>
      <c r="H19" s="24">
        <v>30</v>
      </c>
      <c r="I19" s="20" t="s">
        <v>51</v>
      </c>
      <c r="J19" s="21"/>
      <c r="K19" s="22"/>
      <c r="L19" s="21"/>
      <c r="M19" s="23"/>
    </row>
    <row r="20" spans="1:13" ht="19.5" customHeight="1" x14ac:dyDescent="0.2">
      <c r="A20" s="16">
        <v>3</v>
      </c>
      <c r="B20" s="16">
        <v>5</v>
      </c>
      <c r="C20" s="17">
        <f>IF('Start Here'!$B$5="","",'Start Here'!$B$5+ROW()-2)</f>
        <v>46239</v>
      </c>
      <c r="D20" s="18" t="str">
        <f t="shared" si="0"/>
        <v>Wednesday</v>
      </c>
      <c r="E20" s="19" t="s">
        <v>31</v>
      </c>
      <c r="F20" s="19" t="s">
        <v>47</v>
      </c>
      <c r="G20" s="16" t="s">
        <v>48</v>
      </c>
      <c r="H20" s="16">
        <v>0</v>
      </c>
      <c r="I20" s="20" t="s">
        <v>47</v>
      </c>
      <c r="J20" s="21"/>
      <c r="K20" s="22"/>
      <c r="L20" s="21"/>
      <c r="M20" s="23"/>
    </row>
    <row r="21" spans="1:13" ht="19.5" customHeight="1" x14ac:dyDescent="0.2">
      <c r="A21" s="24">
        <v>3</v>
      </c>
      <c r="B21" s="24">
        <v>6</v>
      </c>
      <c r="C21" s="25">
        <f>IF('Start Here'!$B$5="","",'Start Here'!$B$5+ROW()-2)</f>
        <v>46240</v>
      </c>
      <c r="D21" s="26" t="str">
        <f t="shared" si="0"/>
        <v>Thursday</v>
      </c>
      <c r="E21" s="27" t="s">
        <v>52</v>
      </c>
      <c r="F21" s="27" t="s">
        <v>47</v>
      </c>
      <c r="G21" s="24" t="s">
        <v>50</v>
      </c>
      <c r="H21" s="24">
        <v>25</v>
      </c>
      <c r="I21" s="20" t="s">
        <v>51</v>
      </c>
      <c r="J21" s="21"/>
      <c r="K21" s="22"/>
      <c r="L21" s="21"/>
      <c r="M21" s="23"/>
    </row>
    <row r="22" spans="1:13" ht="19.5" customHeight="1" x14ac:dyDescent="0.2">
      <c r="A22" s="28">
        <v>3</v>
      </c>
      <c r="B22" s="28">
        <v>7</v>
      </c>
      <c r="C22" s="29">
        <f>IF('Start Here'!$B$5="","",'Start Here'!$B$5+ROW()-2)</f>
        <v>46241</v>
      </c>
      <c r="D22" s="30" t="str">
        <f t="shared" si="0"/>
        <v>Friday</v>
      </c>
      <c r="E22" s="31" t="s">
        <v>52</v>
      </c>
      <c r="F22" s="31" t="s">
        <v>47</v>
      </c>
      <c r="G22" s="28" t="s">
        <v>50</v>
      </c>
      <c r="H22" s="28">
        <v>25</v>
      </c>
      <c r="I22" s="32" t="s">
        <v>51</v>
      </c>
      <c r="J22" s="33"/>
      <c r="K22" s="34"/>
      <c r="L22" s="33"/>
      <c r="M22" s="35"/>
    </row>
    <row r="23" spans="1:13" ht="19.5" customHeight="1" x14ac:dyDescent="0.2">
      <c r="A23" s="24">
        <v>4</v>
      </c>
      <c r="B23" s="24">
        <v>1</v>
      </c>
      <c r="C23" s="25">
        <f>IF('Start Here'!$B$5="","",'Start Here'!$B$5+ROW()-2)</f>
        <v>46242</v>
      </c>
      <c r="D23" s="26" t="str">
        <f t="shared" si="0"/>
        <v>Saturday</v>
      </c>
      <c r="E23" s="27" t="s">
        <v>49</v>
      </c>
      <c r="F23" s="27" t="s">
        <v>47</v>
      </c>
      <c r="G23" s="24" t="s">
        <v>50</v>
      </c>
      <c r="H23" s="24">
        <v>20</v>
      </c>
      <c r="I23" s="20" t="s">
        <v>51</v>
      </c>
      <c r="J23" s="21"/>
      <c r="K23" s="22"/>
      <c r="L23" s="21"/>
      <c r="M23" s="23"/>
    </row>
    <row r="24" spans="1:13" ht="19.5" customHeight="1" x14ac:dyDescent="0.2">
      <c r="A24" s="16">
        <v>4</v>
      </c>
      <c r="B24" s="16">
        <v>2</v>
      </c>
      <c r="C24" s="17">
        <f>IF('Start Here'!$B$5="","",'Start Here'!$B$5+ROW()-2)</f>
        <v>46243</v>
      </c>
      <c r="D24" s="18" t="str">
        <f t="shared" si="0"/>
        <v>Sunday</v>
      </c>
      <c r="E24" s="19" t="s">
        <v>31</v>
      </c>
      <c r="F24" s="19" t="s">
        <v>47</v>
      </c>
      <c r="G24" s="16" t="s">
        <v>48</v>
      </c>
      <c r="H24" s="16">
        <v>0</v>
      </c>
      <c r="I24" s="20" t="s">
        <v>47</v>
      </c>
      <c r="J24" s="21"/>
      <c r="K24" s="22"/>
      <c r="L24" s="21"/>
      <c r="M24" s="23"/>
    </row>
    <row r="25" spans="1:13" ht="19.5" customHeight="1" x14ac:dyDescent="0.2">
      <c r="A25" s="24">
        <v>4</v>
      </c>
      <c r="B25" s="24">
        <v>3</v>
      </c>
      <c r="C25" s="25">
        <f>IF('Start Here'!$B$5="","",'Start Here'!$B$5+ROW()-2)</f>
        <v>46244</v>
      </c>
      <c r="D25" s="26" t="str">
        <f t="shared" si="0"/>
        <v>Monday</v>
      </c>
      <c r="E25" s="27" t="s">
        <v>53</v>
      </c>
      <c r="F25" s="27" t="s">
        <v>47</v>
      </c>
      <c r="G25" s="24" t="s">
        <v>50</v>
      </c>
      <c r="H25" s="24">
        <v>30</v>
      </c>
      <c r="I25" s="20" t="s">
        <v>51</v>
      </c>
      <c r="J25" s="21"/>
      <c r="K25" s="22"/>
      <c r="L25" s="21"/>
      <c r="M25" s="23"/>
    </row>
    <row r="26" spans="1:13" ht="19.5" customHeight="1" x14ac:dyDescent="0.2">
      <c r="A26" s="24">
        <v>4</v>
      </c>
      <c r="B26" s="24">
        <v>4</v>
      </c>
      <c r="C26" s="25">
        <f>IF('Start Here'!$B$5="","",'Start Here'!$B$5+ROW()-2)</f>
        <v>46245</v>
      </c>
      <c r="D26" s="26" t="str">
        <f t="shared" si="0"/>
        <v>Tuesday</v>
      </c>
      <c r="E26" s="27" t="s">
        <v>53</v>
      </c>
      <c r="F26" s="27" t="s">
        <v>47</v>
      </c>
      <c r="G26" s="24" t="s">
        <v>50</v>
      </c>
      <c r="H26" s="24">
        <v>30</v>
      </c>
      <c r="I26" s="20" t="s">
        <v>51</v>
      </c>
      <c r="J26" s="21"/>
      <c r="K26" s="22"/>
      <c r="L26" s="21"/>
      <c r="M26" s="23"/>
    </row>
    <row r="27" spans="1:13" ht="19.5" customHeight="1" x14ac:dyDescent="0.2">
      <c r="A27" s="16">
        <v>4</v>
      </c>
      <c r="B27" s="16">
        <v>5</v>
      </c>
      <c r="C27" s="17">
        <f>IF('Start Here'!$B$5="","",'Start Here'!$B$5+ROW()-2)</f>
        <v>46246</v>
      </c>
      <c r="D27" s="18" t="str">
        <f t="shared" si="0"/>
        <v>Wednesday</v>
      </c>
      <c r="E27" s="19" t="s">
        <v>31</v>
      </c>
      <c r="F27" s="19" t="s">
        <v>47</v>
      </c>
      <c r="G27" s="16" t="s">
        <v>48</v>
      </c>
      <c r="H27" s="16">
        <v>0</v>
      </c>
      <c r="I27" s="20" t="s">
        <v>47</v>
      </c>
      <c r="J27" s="21"/>
      <c r="K27" s="22"/>
      <c r="L27" s="21"/>
      <c r="M27" s="23"/>
    </row>
    <row r="28" spans="1:13" ht="19.5" customHeight="1" x14ac:dyDescent="0.2">
      <c r="A28" s="24">
        <v>4</v>
      </c>
      <c r="B28" s="24">
        <v>6</v>
      </c>
      <c r="C28" s="25">
        <f>IF('Start Here'!$B$5="","",'Start Here'!$B$5+ROW()-2)</f>
        <v>46247</v>
      </c>
      <c r="D28" s="26" t="str">
        <f t="shared" si="0"/>
        <v>Thursday</v>
      </c>
      <c r="E28" s="27" t="s">
        <v>54</v>
      </c>
      <c r="F28" s="27" t="s">
        <v>47</v>
      </c>
      <c r="G28" s="24" t="s">
        <v>50</v>
      </c>
      <c r="H28" s="24">
        <v>35</v>
      </c>
      <c r="I28" s="20" t="s">
        <v>51</v>
      </c>
      <c r="J28" s="21"/>
      <c r="K28" s="22"/>
      <c r="L28" s="21"/>
      <c r="M28" s="23"/>
    </row>
    <row r="29" spans="1:13" ht="19.5" customHeight="1" x14ac:dyDescent="0.2">
      <c r="A29" s="28">
        <v>4</v>
      </c>
      <c r="B29" s="28">
        <v>7</v>
      </c>
      <c r="C29" s="29">
        <f>IF('Start Here'!$B$5="","",'Start Here'!$B$5+ROW()-2)</f>
        <v>46248</v>
      </c>
      <c r="D29" s="30" t="str">
        <f t="shared" si="0"/>
        <v>Friday</v>
      </c>
      <c r="E29" s="31" t="s">
        <v>49</v>
      </c>
      <c r="F29" s="31" t="s">
        <v>47</v>
      </c>
      <c r="G29" s="28" t="s">
        <v>50</v>
      </c>
      <c r="H29" s="28">
        <v>20</v>
      </c>
      <c r="I29" s="32" t="s">
        <v>51</v>
      </c>
      <c r="J29" s="33"/>
      <c r="K29" s="34"/>
      <c r="L29" s="33"/>
      <c r="M29" s="35"/>
    </row>
    <row r="30" spans="1:13" ht="19.5" customHeight="1" x14ac:dyDescent="0.2">
      <c r="A30" s="24">
        <v>5</v>
      </c>
      <c r="B30" s="24">
        <v>1</v>
      </c>
      <c r="C30" s="25">
        <f>IF('Start Here'!$B$5="","",'Start Here'!$B$5+ROW()-2)</f>
        <v>46249</v>
      </c>
      <c r="D30" s="26" t="str">
        <f t="shared" si="0"/>
        <v>Saturday</v>
      </c>
      <c r="E30" s="27" t="s">
        <v>52</v>
      </c>
      <c r="F30" s="27" t="s">
        <v>47</v>
      </c>
      <c r="G30" s="24" t="s">
        <v>50</v>
      </c>
      <c r="H30" s="24">
        <v>25</v>
      </c>
      <c r="I30" s="20" t="s">
        <v>51</v>
      </c>
      <c r="J30" s="21"/>
      <c r="K30" s="22"/>
      <c r="L30" s="21"/>
      <c r="M30" s="23"/>
    </row>
    <row r="31" spans="1:13" ht="19.5" customHeight="1" x14ac:dyDescent="0.2">
      <c r="A31" s="16">
        <v>5</v>
      </c>
      <c r="B31" s="16">
        <v>2</v>
      </c>
      <c r="C31" s="17">
        <f>IF('Start Here'!$B$5="","",'Start Here'!$B$5+ROW()-2)</f>
        <v>46250</v>
      </c>
      <c r="D31" s="18" t="str">
        <f t="shared" si="0"/>
        <v>Sunday</v>
      </c>
      <c r="E31" s="19" t="s">
        <v>31</v>
      </c>
      <c r="F31" s="19" t="s">
        <v>47</v>
      </c>
      <c r="G31" s="16" t="s">
        <v>48</v>
      </c>
      <c r="H31" s="16">
        <v>0</v>
      </c>
      <c r="I31" s="20" t="s">
        <v>47</v>
      </c>
      <c r="J31" s="21"/>
      <c r="K31" s="22"/>
      <c r="L31" s="21"/>
      <c r="M31" s="23"/>
    </row>
    <row r="32" spans="1:13" ht="19.5" customHeight="1" x14ac:dyDescent="0.2">
      <c r="A32" s="24">
        <v>5</v>
      </c>
      <c r="B32" s="24">
        <v>3</v>
      </c>
      <c r="C32" s="25">
        <f>IF('Start Here'!$B$5="","",'Start Here'!$B$5+ROW()-2)</f>
        <v>46251</v>
      </c>
      <c r="D32" s="26" t="str">
        <f t="shared" si="0"/>
        <v>Monday</v>
      </c>
      <c r="E32" s="27" t="s">
        <v>54</v>
      </c>
      <c r="F32" s="27" t="s">
        <v>47</v>
      </c>
      <c r="G32" s="24" t="s">
        <v>50</v>
      </c>
      <c r="H32" s="24">
        <v>35</v>
      </c>
      <c r="I32" s="20" t="s">
        <v>51</v>
      </c>
      <c r="J32" s="21"/>
      <c r="K32" s="22"/>
      <c r="L32" s="21"/>
      <c r="M32" s="23"/>
    </row>
    <row r="33" spans="1:13" ht="19.5" customHeight="1" x14ac:dyDescent="0.2">
      <c r="A33" s="24">
        <v>5</v>
      </c>
      <c r="B33" s="24">
        <v>4</v>
      </c>
      <c r="C33" s="25">
        <f>IF('Start Here'!$B$5="","",'Start Here'!$B$5+ROW()-2)</f>
        <v>46252</v>
      </c>
      <c r="D33" s="26" t="str">
        <f t="shared" si="0"/>
        <v>Tuesday</v>
      </c>
      <c r="E33" s="27" t="s">
        <v>54</v>
      </c>
      <c r="F33" s="27" t="s">
        <v>47</v>
      </c>
      <c r="G33" s="24" t="s">
        <v>50</v>
      </c>
      <c r="H33" s="24">
        <v>35</v>
      </c>
      <c r="I33" s="20" t="s">
        <v>51</v>
      </c>
      <c r="J33" s="21"/>
      <c r="K33" s="22"/>
      <c r="L33" s="21"/>
      <c r="M33" s="23"/>
    </row>
    <row r="34" spans="1:13" ht="19.5" customHeight="1" x14ac:dyDescent="0.2">
      <c r="A34" s="16">
        <v>5</v>
      </c>
      <c r="B34" s="16">
        <v>5</v>
      </c>
      <c r="C34" s="17">
        <f>IF('Start Here'!$B$5="","",'Start Here'!$B$5+ROW()-2)</f>
        <v>46253</v>
      </c>
      <c r="D34" s="18" t="str">
        <f t="shared" ref="D34:D65" si="1">IF($C34="","",TEXT($C34,"dddd"))</f>
        <v>Wednesday</v>
      </c>
      <c r="E34" s="19" t="s">
        <v>31</v>
      </c>
      <c r="F34" s="19" t="s">
        <v>47</v>
      </c>
      <c r="G34" s="16" t="s">
        <v>48</v>
      </c>
      <c r="H34" s="16">
        <v>0</v>
      </c>
      <c r="I34" s="20" t="s">
        <v>47</v>
      </c>
      <c r="J34" s="21"/>
      <c r="K34" s="22"/>
      <c r="L34" s="21"/>
      <c r="M34" s="23"/>
    </row>
    <row r="35" spans="1:13" ht="19.5" customHeight="1" x14ac:dyDescent="0.2">
      <c r="A35" s="24">
        <v>5</v>
      </c>
      <c r="B35" s="24">
        <v>6</v>
      </c>
      <c r="C35" s="25">
        <f>IF('Start Here'!$B$5="","",'Start Here'!$B$5+ROW()-2)</f>
        <v>46254</v>
      </c>
      <c r="D35" s="26" t="str">
        <f t="shared" si="1"/>
        <v>Thursday</v>
      </c>
      <c r="E35" s="27" t="s">
        <v>49</v>
      </c>
      <c r="F35" s="27" t="s">
        <v>47</v>
      </c>
      <c r="G35" s="24" t="s">
        <v>50</v>
      </c>
      <c r="H35" s="24">
        <v>20</v>
      </c>
      <c r="I35" s="20" t="s">
        <v>51</v>
      </c>
      <c r="J35" s="21"/>
      <c r="K35" s="22"/>
      <c r="L35" s="21"/>
      <c r="M35" s="23"/>
    </row>
    <row r="36" spans="1:13" ht="19.5" customHeight="1" x14ac:dyDescent="0.2">
      <c r="A36" s="28">
        <v>5</v>
      </c>
      <c r="B36" s="28">
        <v>7</v>
      </c>
      <c r="C36" s="29">
        <f>IF('Start Here'!$B$5="","",'Start Here'!$B$5+ROW()-2)</f>
        <v>46255</v>
      </c>
      <c r="D36" s="30" t="str">
        <f t="shared" si="1"/>
        <v>Friday</v>
      </c>
      <c r="E36" s="31" t="s">
        <v>49</v>
      </c>
      <c r="F36" s="31" t="s">
        <v>47</v>
      </c>
      <c r="G36" s="28" t="s">
        <v>50</v>
      </c>
      <c r="H36" s="28">
        <v>20</v>
      </c>
      <c r="I36" s="32" t="s">
        <v>51</v>
      </c>
      <c r="J36" s="33"/>
      <c r="K36" s="34"/>
      <c r="L36" s="33"/>
      <c r="M36" s="35"/>
    </row>
    <row r="37" spans="1:13" ht="19.5" customHeight="1" x14ac:dyDescent="0.2">
      <c r="A37" s="24">
        <v>6</v>
      </c>
      <c r="B37" s="24">
        <v>1</v>
      </c>
      <c r="C37" s="25">
        <f>IF('Start Here'!$B$5="","",'Start Here'!$B$5+ROW()-2)</f>
        <v>46256</v>
      </c>
      <c r="D37" s="26" t="str">
        <f t="shared" si="1"/>
        <v>Saturday</v>
      </c>
      <c r="E37" s="27" t="s">
        <v>54</v>
      </c>
      <c r="F37" s="27" t="s">
        <v>47</v>
      </c>
      <c r="G37" s="24" t="s">
        <v>50</v>
      </c>
      <c r="H37" s="24">
        <v>35</v>
      </c>
      <c r="I37" s="20" t="s">
        <v>51</v>
      </c>
      <c r="J37" s="21"/>
      <c r="K37" s="22"/>
      <c r="L37" s="21"/>
      <c r="M37" s="23"/>
    </row>
    <row r="38" spans="1:13" ht="19.5" customHeight="1" x14ac:dyDescent="0.2">
      <c r="A38" s="16">
        <v>6</v>
      </c>
      <c r="B38" s="16">
        <v>2</v>
      </c>
      <c r="C38" s="17">
        <f>IF('Start Here'!$B$5="","",'Start Here'!$B$5+ROW()-2)</f>
        <v>46257</v>
      </c>
      <c r="D38" s="18" t="str">
        <f t="shared" si="1"/>
        <v>Sunday</v>
      </c>
      <c r="E38" s="19" t="s">
        <v>31</v>
      </c>
      <c r="F38" s="19" t="s">
        <v>47</v>
      </c>
      <c r="G38" s="16" t="s">
        <v>48</v>
      </c>
      <c r="H38" s="16">
        <v>0</v>
      </c>
      <c r="I38" s="20" t="s">
        <v>47</v>
      </c>
      <c r="J38" s="21"/>
      <c r="K38" s="22"/>
      <c r="L38" s="21"/>
      <c r="M38" s="23"/>
    </row>
    <row r="39" spans="1:13" ht="19.5" customHeight="1" x14ac:dyDescent="0.2">
      <c r="A39" s="24">
        <v>6</v>
      </c>
      <c r="B39" s="24">
        <v>3</v>
      </c>
      <c r="C39" s="25">
        <f>IF('Start Here'!$B$5="","",'Start Here'!$B$5+ROW()-2)</f>
        <v>46258</v>
      </c>
      <c r="D39" s="26" t="str">
        <f t="shared" si="1"/>
        <v>Monday</v>
      </c>
      <c r="E39" s="27" t="s">
        <v>54</v>
      </c>
      <c r="F39" s="27" t="s">
        <v>47</v>
      </c>
      <c r="G39" s="24" t="s">
        <v>50</v>
      </c>
      <c r="H39" s="24">
        <v>35</v>
      </c>
      <c r="I39" s="20" t="s">
        <v>51</v>
      </c>
      <c r="J39" s="21"/>
      <c r="K39" s="22"/>
      <c r="L39" s="21"/>
      <c r="M39" s="23"/>
    </row>
    <row r="40" spans="1:13" ht="19.5" customHeight="1" x14ac:dyDescent="0.2">
      <c r="A40" s="24">
        <v>6</v>
      </c>
      <c r="B40" s="24">
        <v>4</v>
      </c>
      <c r="C40" s="25">
        <f>IF('Start Here'!$B$5="","",'Start Here'!$B$5+ROW()-2)</f>
        <v>46259</v>
      </c>
      <c r="D40" s="26" t="str">
        <f t="shared" si="1"/>
        <v>Tuesday</v>
      </c>
      <c r="E40" s="27" t="s">
        <v>54</v>
      </c>
      <c r="F40" s="27" t="s">
        <v>47</v>
      </c>
      <c r="G40" s="24" t="s">
        <v>50</v>
      </c>
      <c r="H40" s="24">
        <v>35</v>
      </c>
      <c r="I40" s="20" t="s">
        <v>51</v>
      </c>
      <c r="J40" s="21"/>
      <c r="K40" s="22"/>
      <c r="L40" s="21"/>
      <c r="M40" s="23"/>
    </row>
    <row r="41" spans="1:13" ht="19.5" customHeight="1" x14ac:dyDescent="0.2">
      <c r="A41" s="16">
        <v>6</v>
      </c>
      <c r="B41" s="16">
        <v>5</v>
      </c>
      <c r="C41" s="17">
        <f>IF('Start Here'!$B$5="","",'Start Here'!$B$5+ROW()-2)</f>
        <v>46260</v>
      </c>
      <c r="D41" s="18" t="str">
        <f t="shared" si="1"/>
        <v>Wednesday</v>
      </c>
      <c r="E41" s="19" t="s">
        <v>31</v>
      </c>
      <c r="F41" s="19" t="s">
        <v>47</v>
      </c>
      <c r="G41" s="16" t="s">
        <v>48</v>
      </c>
      <c r="H41" s="16">
        <v>0</v>
      </c>
      <c r="I41" s="20" t="s">
        <v>47</v>
      </c>
      <c r="J41" s="21"/>
      <c r="K41" s="22"/>
      <c r="L41" s="21"/>
      <c r="M41" s="23"/>
    </row>
    <row r="42" spans="1:13" ht="19.5" customHeight="1" x14ac:dyDescent="0.2">
      <c r="A42" s="24">
        <v>6</v>
      </c>
      <c r="B42" s="24">
        <v>6</v>
      </c>
      <c r="C42" s="25">
        <f>IF('Start Here'!$B$5="","",'Start Here'!$B$5+ROW()-2)</f>
        <v>46261</v>
      </c>
      <c r="D42" s="26" t="str">
        <f t="shared" si="1"/>
        <v>Thursday</v>
      </c>
      <c r="E42" s="27" t="s">
        <v>55</v>
      </c>
      <c r="F42" s="27" t="s">
        <v>47</v>
      </c>
      <c r="G42" s="24" t="s">
        <v>50</v>
      </c>
      <c r="H42" s="24">
        <v>40</v>
      </c>
      <c r="I42" s="20" t="s">
        <v>51</v>
      </c>
      <c r="J42" s="21"/>
      <c r="K42" s="22"/>
      <c r="L42" s="21"/>
      <c r="M42" s="23"/>
    </row>
    <row r="43" spans="1:13" ht="19.5" customHeight="1" x14ac:dyDescent="0.2">
      <c r="A43" s="28">
        <v>6</v>
      </c>
      <c r="B43" s="28">
        <v>7</v>
      </c>
      <c r="C43" s="29">
        <f>IF('Start Here'!$B$5="","",'Start Here'!$B$5+ROW()-2)</f>
        <v>46262</v>
      </c>
      <c r="D43" s="30" t="str">
        <f t="shared" si="1"/>
        <v>Friday</v>
      </c>
      <c r="E43" s="31" t="s">
        <v>49</v>
      </c>
      <c r="F43" s="31" t="s">
        <v>47</v>
      </c>
      <c r="G43" s="28" t="s">
        <v>50</v>
      </c>
      <c r="H43" s="28">
        <v>20</v>
      </c>
      <c r="I43" s="32" t="s">
        <v>51</v>
      </c>
      <c r="J43" s="33"/>
      <c r="K43" s="34"/>
      <c r="L43" s="33"/>
      <c r="M43" s="35"/>
    </row>
    <row r="44" spans="1:13" ht="19.5" customHeight="1" x14ac:dyDescent="0.2">
      <c r="A44" s="24">
        <v>7</v>
      </c>
      <c r="B44" s="24">
        <v>1</v>
      </c>
      <c r="C44" s="25">
        <f>IF('Start Here'!$B$5="","",'Start Here'!$B$5+ROW()-2)</f>
        <v>46263</v>
      </c>
      <c r="D44" s="26" t="str">
        <f t="shared" si="1"/>
        <v>Saturday</v>
      </c>
      <c r="E44" s="27" t="s">
        <v>49</v>
      </c>
      <c r="F44" s="27" t="s">
        <v>47</v>
      </c>
      <c r="G44" s="24" t="s">
        <v>50</v>
      </c>
      <c r="H44" s="24">
        <v>20</v>
      </c>
      <c r="I44" s="20" t="s">
        <v>51</v>
      </c>
      <c r="J44" s="21"/>
      <c r="K44" s="22"/>
      <c r="L44" s="21"/>
      <c r="M44" s="23"/>
    </row>
    <row r="45" spans="1:13" ht="19.5" customHeight="1" x14ac:dyDescent="0.2">
      <c r="A45" s="16">
        <v>7</v>
      </c>
      <c r="B45" s="16">
        <v>2</v>
      </c>
      <c r="C45" s="17">
        <f>IF('Start Here'!$B$5="","",'Start Here'!$B$5+ROW()-2)</f>
        <v>46264</v>
      </c>
      <c r="D45" s="18" t="str">
        <f t="shared" si="1"/>
        <v>Sunday</v>
      </c>
      <c r="E45" s="19" t="s">
        <v>31</v>
      </c>
      <c r="F45" s="19" t="s">
        <v>47</v>
      </c>
      <c r="G45" s="16" t="s">
        <v>48</v>
      </c>
      <c r="H45" s="16">
        <v>0</v>
      </c>
      <c r="I45" s="20" t="s">
        <v>47</v>
      </c>
      <c r="J45" s="21"/>
      <c r="K45" s="22"/>
      <c r="L45" s="21"/>
      <c r="M45" s="23"/>
    </row>
    <row r="46" spans="1:13" ht="19.5" customHeight="1" x14ac:dyDescent="0.2">
      <c r="A46" s="24">
        <v>7</v>
      </c>
      <c r="B46" s="24">
        <v>3</v>
      </c>
      <c r="C46" s="25">
        <f>IF('Start Here'!$B$5="","",'Start Here'!$B$5+ROW()-2)</f>
        <v>46265</v>
      </c>
      <c r="D46" s="26" t="str">
        <f t="shared" si="1"/>
        <v>Monday</v>
      </c>
      <c r="E46" s="27" t="s">
        <v>55</v>
      </c>
      <c r="F46" s="27" t="s">
        <v>47</v>
      </c>
      <c r="G46" s="24" t="s">
        <v>50</v>
      </c>
      <c r="H46" s="24">
        <v>40</v>
      </c>
      <c r="I46" s="20" t="s">
        <v>51</v>
      </c>
      <c r="J46" s="21"/>
      <c r="K46" s="22"/>
      <c r="L46" s="21"/>
      <c r="M46" s="23"/>
    </row>
    <row r="47" spans="1:13" ht="19.5" customHeight="1" x14ac:dyDescent="0.2">
      <c r="A47" s="36">
        <v>7</v>
      </c>
      <c r="B47" s="36">
        <v>4</v>
      </c>
      <c r="C47" s="37">
        <f>IF('Start Here'!$B$5="","",'Start Here'!$B$5+ROW()-2)</f>
        <v>46266</v>
      </c>
      <c r="D47" s="38" t="str">
        <f t="shared" si="1"/>
        <v>Tuesday</v>
      </c>
      <c r="E47" s="39" t="s">
        <v>56</v>
      </c>
      <c r="F47" s="39" t="s">
        <v>57</v>
      </c>
      <c r="G47" s="36" t="s">
        <v>58</v>
      </c>
      <c r="H47" s="36">
        <v>40</v>
      </c>
      <c r="I47" s="20" t="s">
        <v>51</v>
      </c>
      <c r="J47" s="21"/>
      <c r="K47" s="22"/>
      <c r="L47" s="21"/>
      <c r="M47" s="23"/>
    </row>
    <row r="48" spans="1:13" ht="19.5" customHeight="1" x14ac:dyDescent="0.2">
      <c r="A48" s="16">
        <v>7</v>
      </c>
      <c r="B48" s="16">
        <v>5</v>
      </c>
      <c r="C48" s="17">
        <f>IF('Start Here'!$B$5="","",'Start Here'!$B$5+ROW()-2)</f>
        <v>46267</v>
      </c>
      <c r="D48" s="18" t="str">
        <f t="shared" si="1"/>
        <v>Wednesday</v>
      </c>
      <c r="E48" s="19" t="s">
        <v>31</v>
      </c>
      <c r="F48" s="19" t="s">
        <v>47</v>
      </c>
      <c r="G48" s="16" t="s">
        <v>48</v>
      </c>
      <c r="H48" s="16">
        <v>0</v>
      </c>
      <c r="I48" s="20" t="s">
        <v>47</v>
      </c>
      <c r="J48" s="21"/>
      <c r="K48" s="22"/>
      <c r="L48" s="21"/>
      <c r="M48" s="23"/>
    </row>
    <row r="49" spans="1:13" ht="19.5" customHeight="1" x14ac:dyDescent="0.2">
      <c r="A49" s="24">
        <v>7</v>
      </c>
      <c r="B49" s="24">
        <v>6</v>
      </c>
      <c r="C49" s="25">
        <f>IF('Start Here'!$B$5="","",'Start Here'!$B$5+ROW()-2)</f>
        <v>46268</v>
      </c>
      <c r="D49" s="26" t="str">
        <f t="shared" si="1"/>
        <v>Thursday</v>
      </c>
      <c r="E49" s="27" t="s">
        <v>53</v>
      </c>
      <c r="F49" s="27" t="s">
        <v>47</v>
      </c>
      <c r="G49" s="24" t="s">
        <v>50</v>
      </c>
      <c r="H49" s="24">
        <v>30</v>
      </c>
      <c r="I49" s="20" t="s">
        <v>51</v>
      </c>
      <c r="J49" s="21"/>
      <c r="K49" s="22"/>
      <c r="L49" s="21"/>
      <c r="M49" s="23"/>
    </row>
    <row r="50" spans="1:13" ht="19.5" customHeight="1" x14ac:dyDescent="0.2">
      <c r="A50" s="40">
        <v>7</v>
      </c>
      <c r="B50" s="40">
        <v>7</v>
      </c>
      <c r="C50" s="41">
        <f>IF('Start Here'!$B$5="","",'Start Here'!$B$5+ROW()-2)</f>
        <v>46269</v>
      </c>
      <c r="D50" s="42" t="str">
        <f t="shared" si="1"/>
        <v>Friday</v>
      </c>
      <c r="E50" s="43" t="s">
        <v>59</v>
      </c>
      <c r="F50" s="43" t="s">
        <v>60</v>
      </c>
      <c r="G50" s="40" t="s">
        <v>61</v>
      </c>
      <c r="H50" s="40">
        <v>30</v>
      </c>
      <c r="I50" s="32" t="s">
        <v>51</v>
      </c>
      <c r="J50" s="33"/>
      <c r="K50" s="34"/>
      <c r="L50" s="33"/>
      <c r="M50" s="35"/>
    </row>
    <row r="51" spans="1:13" ht="19.5" customHeight="1" x14ac:dyDescent="0.2">
      <c r="A51" s="24">
        <v>8</v>
      </c>
      <c r="B51" s="24">
        <v>1</v>
      </c>
      <c r="C51" s="25">
        <f>IF('Start Here'!$B$5="","",'Start Here'!$B$5+ROW()-2)</f>
        <v>46270</v>
      </c>
      <c r="D51" s="26" t="str">
        <f t="shared" si="1"/>
        <v>Saturday</v>
      </c>
      <c r="E51" s="27" t="s">
        <v>53</v>
      </c>
      <c r="F51" s="27" t="s">
        <v>47</v>
      </c>
      <c r="G51" s="24" t="s">
        <v>50</v>
      </c>
      <c r="H51" s="24">
        <v>30</v>
      </c>
      <c r="I51" s="20" t="s">
        <v>51</v>
      </c>
      <c r="J51" s="21"/>
      <c r="K51" s="22"/>
      <c r="L51" s="21"/>
      <c r="M51" s="23"/>
    </row>
    <row r="52" spans="1:13" ht="19.5" customHeight="1" x14ac:dyDescent="0.2">
      <c r="A52" s="16">
        <v>8</v>
      </c>
      <c r="B52" s="16">
        <v>2</v>
      </c>
      <c r="C52" s="17">
        <f>IF('Start Here'!$B$5="","",'Start Here'!$B$5+ROW()-2)</f>
        <v>46271</v>
      </c>
      <c r="D52" s="18" t="str">
        <f t="shared" si="1"/>
        <v>Sunday</v>
      </c>
      <c r="E52" s="19" t="s">
        <v>31</v>
      </c>
      <c r="F52" s="19" t="s">
        <v>47</v>
      </c>
      <c r="G52" s="16" t="s">
        <v>48</v>
      </c>
      <c r="H52" s="16">
        <v>0</v>
      </c>
      <c r="I52" s="20" t="s">
        <v>47</v>
      </c>
      <c r="J52" s="21"/>
      <c r="K52" s="22"/>
      <c r="L52" s="21"/>
      <c r="M52" s="23"/>
    </row>
    <row r="53" spans="1:13" ht="19.5" customHeight="1" x14ac:dyDescent="0.2">
      <c r="A53" s="36">
        <v>8</v>
      </c>
      <c r="B53" s="36">
        <v>3</v>
      </c>
      <c r="C53" s="37">
        <f>IF('Start Here'!$B$5="","",'Start Here'!$B$5+ROW()-2)</f>
        <v>46272</v>
      </c>
      <c r="D53" s="38" t="str">
        <f t="shared" si="1"/>
        <v>Monday</v>
      </c>
      <c r="E53" s="39" t="s">
        <v>62</v>
      </c>
      <c r="F53" s="39" t="s">
        <v>63</v>
      </c>
      <c r="G53" s="36" t="s">
        <v>58</v>
      </c>
      <c r="H53" s="36">
        <v>45</v>
      </c>
      <c r="I53" s="20" t="s">
        <v>51</v>
      </c>
      <c r="J53" s="21"/>
      <c r="K53" s="22"/>
      <c r="L53" s="21"/>
      <c r="M53" s="23"/>
    </row>
    <row r="54" spans="1:13" ht="19.5" customHeight="1" x14ac:dyDescent="0.2">
      <c r="A54" s="24">
        <v>8</v>
      </c>
      <c r="B54" s="24">
        <v>4</v>
      </c>
      <c r="C54" s="25">
        <f>IF('Start Here'!$B$5="","",'Start Here'!$B$5+ROW()-2)</f>
        <v>46273</v>
      </c>
      <c r="D54" s="26" t="str">
        <f t="shared" si="1"/>
        <v>Tuesday</v>
      </c>
      <c r="E54" s="27" t="s">
        <v>53</v>
      </c>
      <c r="F54" s="27" t="s">
        <v>47</v>
      </c>
      <c r="G54" s="24" t="s">
        <v>50</v>
      </c>
      <c r="H54" s="24">
        <v>30</v>
      </c>
      <c r="I54" s="20" t="s">
        <v>51</v>
      </c>
      <c r="J54" s="21"/>
      <c r="K54" s="22"/>
      <c r="L54" s="21"/>
      <c r="M54" s="23"/>
    </row>
    <row r="55" spans="1:13" ht="19.5" customHeight="1" x14ac:dyDescent="0.2">
      <c r="A55" s="16">
        <v>8</v>
      </c>
      <c r="B55" s="16">
        <v>5</v>
      </c>
      <c r="C55" s="17">
        <f>IF('Start Here'!$B$5="","",'Start Here'!$B$5+ROW()-2)</f>
        <v>46274</v>
      </c>
      <c r="D55" s="18" t="str">
        <f t="shared" si="1"/>
        <v>Wednesday</v>
      </c>
      <c r="E55" s="19" t="s">
        <v>31</v>
      </c>
      <c r="F55" s="19" t="s">
        <v>47</v>
      </c>
      <c r="G55" s="16" t="s">
        <v>48</v>
      </c>
      <c r="H55" s="16">
        <v>0</v>
      </c>
      <c r="I55" s="20" t="s">
        <v>47</v>
      </c>
      <c r="J55" s="21"/>
      <c r="K55" s="22"/>
      <c r="L55" s="21"/>
      <c r="M55" s="23"/>
    </row>
    <row r="56" spans="1:13" ht="19.5" customHeight="1" x14ac:dyDescent="0.2">
      <c r="A56" s="36">
        <v>8</v>
      </c>
      <c r="B56" s="36">
        <v>6</v>
      </c>
      <c r="C56" s="37">
        <f>IF('Start Here'!$B$5="","",'Start Here'!$B$5+ROW()-2)</f>
        <v>46275</v>
      </c>
      <c r="D56" s="38" t="str">
        <f t="shared" si="1"/>
        <v>Thursday</v>
      </c>
      <c r="E56" s="39" t="s">
        <v>62</v>
      </c>
      <c r="F56" s="39" t="s">
        <v>64</v>
      </c>
      <c r="G56" s="36" t="s">
        <v>65</v>
      </c>
      <c r="H56" s="36">
        <v>45</v>
      </c>
      <c r="I56" s="20" t="s">
        <v>51</v>
      </c>
      <c r="J56" s="21"/>
      <c r="K56" s="22"/>
      <c r="L56" s="21"/>
      <c r="M56" s="23"/>
    </row>
    <row r="57" spans="1:13" ht="19.5" customHeight="1" x14ac:dyDescent="0.2">
      <c r="A57" s="28">
        <v>8</v>
      </c>
      <c r="B57" s="28">
        <v>7</v>
      </c>
      <c r="C57" s="29">
        <f>IF('Start Here'!$B$5="","",'Start Here'!$B$5+ROW()-2)</f>
        <v>46276</v>
      </c>
      <c r="D57" s="30" t="str">
        <f t="shared" si="1"/>
        <v>Friday</v>
      </c>
      <c r="E57" s="31" t="s">
        <v>53</v>
      </c>
      <c r="F57" s="31" t="s">
        <v>47</v>
      </c>
      <c r="G57" s="28" t="s">
        <v>50</v>
      </c>
      <c r="H57" s="28">
        <v>30</v>
      </c>
      <c r="I57" s="32" t="s">
        <v>51</v>
      </c>
      <c r="J57" s="33"/>
      <c r="K57" s="34"/>
      <c r="L57" s="33"/>
      <c r="M57" s="35"/>
    </row>
    <row r="58" spans="1:13" ht="19.5" customHeight="1" x14ac:dyDescent="0.2">
      <c r="A58" s="24">
        <v>9</v>
      </c>
      <c r="B58" s="24">
        <v>1</v>
      </c>
      <c r="C58" s="25">
        <f>IF('Start Here'!$B$5="","",'Start Here'!$B$5+ROW()-2)</f>
        <v>46277</v>
      </c>
      <c r="D58" s="26" t="str">
        <f t="shared" si="1"/>
        <v>Saturday</v>
      </c>
      <c r="E58" s="27" t="s">
        <v>53</v>
      </c>
      <c r="F58" s="27" t="s">
        <v>47</v>
      </c>
      <c r="G58" s="24" t="s">
        <v>50</v>
      </c>
      <c r="H58" s="24">
        <v>30</v>
      </c>
      <c r="I58" s="20" t="s">
        <v>51</v>
      </c>
      <c r="J58" s="21"/>
      <c r="K58" s="22"/>
      <c r="L58" s="21"/>
      <c r="M58" s="23"/>
    </row>
    <row r="59" spans="1:13" ht="19.5" customHeight="1" x14ac:dyDescent="0.2">
      <c r="A59" s="16">
        <v>9</v>
      </c>
      <c r="B59" s="16">
        <v>2</v>
      </c>
      <c r="C59" s="17">
        <f>IF('Start Here'!$B$5="","",'Start Here'!$B$5+ROW()-2)</f>
        <v>46278</v>
      </c>
      <c r="D59" s="18" t="str">
        <f t="shared" si="1"/>
        <v>Sunday</v>
      </c>
      <c r="E59" s="19" t="s">
        <v>31</v>
      </c>
      <c r="F59" s="19" t="s">
        <v>47</v>
      </c>
      <c r="G59" s="16" t="s">
        <v>48</v>
      </c>
      <c r="H59" s="16">
        <v>0</v>
      </c>
      <c r="I59" s="20" t="s">
        <v>47</v>
      </c>
      <c r="J59" s="21"/>
      <c r="K59" s="22"/>
      <c r="L59" s="21"/>
      <c r="M59" s="23"/>
    </row>
    <row r="60" spans="1:13" ht="19.5" customHeight="1" x14ac:dyDescent="0.2">
      <c r="A60" s="36">
        <v>9</v>
      </c>
      <c r="B60" s="36">
        <v>3</v>
      </c>
      <c r="C60" s="37">
        <f>IF('Start Here'!$B$5="","",'Start Here'!$B$5+ROW()-2)</f>
        <v>46279</v>
      </c>
      <c r="D60" s="38" t="str">
        <f t="shared" si="1"/>
        <v>Monday</v>
      </c>
      <c r="E60" s="39" t="s">
        <v>62</v>
      </c>
      <c r="F60" s="39" t="s">
        <v>66</v>
      </c>
      <c r="G60" s="36" t="s">
        <v>58</v>
      </c>
      <c r="H60" s="36">
        <v>45</v>
      </c>
      <c r="I60" s="20" t="s">
        <v>51</v>
      </c>
      <c r="J60" s="21"/>
      <c r="K60" s="22"/>
      <c r="L60" s="21"/>
      <c r="M60" s="23"/>
    </row>
    <row r="61" spans="1:13" ht="19.5" customHeight="1" x14ac:dyDescent="0.2">
      <c r="A61" s="24">
        <v>9</v>
      </c>
      <c r="B61" s="24">
        <v>4</v>
      </c>
      <c r="C61" s="25">
        <f>IF('Start Here'!$B$5="","",'Start Here'!$B$5+ROW()-2)</f>
        <v>46280</v>
      </c>
      <c r="D61" s="26" t="str">
        <f t="shared" si="1"/>
        <v>Tuesday</v>
      </c>
      <c r="E61" s="27" t="s">
        <v>53</v>
      </c>
      <c r="F61" s="27" t="s">
        <v>47</v>
      </c>
      <c r="G61" s="24" t="s">
        <v>50</v>
      </c>
      <c r="H61" s="24">
        <v>30</v>
      </c>
      <c r="I61" s="20" t="s">
        <v>51</v>
      </c>
      <c r="J61" s="21"/>
      <c r="K61" s="22"/>
      <c r="L61" s="21"/>
      <c r="M61" s="23"/>
    </row>
    <row r="62" spans="1:13" ht="19.5" customHeight="1" x14ac:dyDescent="0.2">
      <c r="A62" s="16">
        <v>9</v>
      </c>
      <c r="B62" s="16">
        <v>5</v>
      </c>
      <c r="C62" s="17">
        <f>IF('Start Here'!$B$5="","",'Start Here'!$B$5+ROW()-2)</f>
        <v>46281</v>
      </c>
      <c r="D62" s="18" t="str">
        <f t="shared" si="1"/>
        <v>Wednesday</v>
      </c>
      <c r="E62" s="19" t="s">
        <v>31</v>
      </c>
      <c r="F62" s="19" t="s">
        <v>47</v>
      </c>
      <c r="G62" s="16" t="s">
        <v>48</v>
      </c>
      <c r="H62" s="16">
        <v>0</v>
      </c>
      <c r="I62" s="20" t="s">
        <v>47</v>
      </c>
      <c r="J62" s="21"/>
      <c r="K62" s="22"/>
      <c r="L62" s="21"/>
      <c r="M62" s="23"/>
    </row>
    <row r="63" spans="1:13" ht="19.5" customHeight="1" x14ac:dyDescent="0.2">
      <c r="A63" s="36">
        <v>9</v>
      </c>
      <c r="B63" s="36">
        <v>6</v>
      </c>
      <c r="C63" s="37">
        <f>IF('Start Here'!$B$5="","",'Start Here'!$B$5+ROW()-2)</f>
        <v>46282</v>
      </c>
      <c r="D63" s="38" t="str">
        <f t="shared" si="1"/>
        <v>Thursday</v>
      </c>
      <c r="E63" s="39" t="s">
        <v>62</v>
      </c>
      <c r="F63" s="39" t="s">
        <v>67</v>
      </c>
      <c r="G63" s="36" t="s">
        <v>65</v>
      </c>
      <c r="H63" s="36">
        <v>45</v>
      </c>
      <c r="I63" s="20" t="s">
        <v>51</v>
      </c>
      <c r="J63" s="21"/>
      <c r="K63" s="22"/>
      <c r="L63" s="21"/>
      <c r="M63" s="23"/>
    </row>
    <row r="64" spans="1:13" ht="19.5" customHeight="1" x14ac:dyDescent="0.2">
      <c r="A64" s="28">
        <v>9</v>
      </c>
      <c r="B64" s="28">
        <v>7</v>
      </c>
      <c r="C64" s="29">
        <f>IF('Start Here'!$B$5="","",'Start Here'!$B$5+ROW()-2)</f>
        <v>46283</v>
      </c>
      <c r="D64" s="30" t="str">
        <f t="shared" si="1"/>
        <v>Friday</v>
      </c>
      <c r="E64" s="31" t="s">
        <v>53</v>
      </c>
      <c r="F64" s="31" t="s">
        <v>47</v>
      </c>
      <c r="G64" s="28" t="s">
        <v>50</v>
      </c>
      <c r="H64" s="28">
        <v>30</v>
      </c>
      <c r="I64" s="32" t="s">
        <v>51</v>
      </c>
      <c r="J64" s="33"/>
      <c r="K64" s="34"/>
      <c r="L64" s="33"/>
      <c r="M64" s="35"/>
    </row>
    <row r="65" spans="1:13" ht="19.5" customHeight="1" x14ac:dyDescent="0.2">
      <c r="A65" s="24">
        <v>10</v>
      </c>
      <c r="B65" s="24">
        <v>1</v>
      </c>
      <c r="C65" s="25">
        <f>IF('Start Here'!$B$5="","",'Start Here'!$B$5+ROW()-2)</f>
        <v>46284</v>
      </c>
      <c r="D65" s="26" t="str">
        <f t="shared" si="1"/>
        <v>Saturday</v>
      </c>
      <c r="E65" s="27" t="s">
        <v>53</v>
      </c>
      <c r="F65" s="27" t="s">
        <v>47</v>
      </c>
      <c r="G65" s="24" t="s">
        <v>50</v>
      </c>
      <c r="H65" s="24">
        <v>30</v>
      </c>
      <c r="I65" s="20" t="s">
        <v>51</v>
      </c>
      <c r="J65" s="21"/>
      <c r="K65" s="22"/>
      <c r="L65" s="21"/>
      <c r="M65" s="23"/>
    </row>
    <row r="66" spans="1:13" ht="19.5" customHeight="1" x14ac:dyDescent="0.2">
      <c r="A66" s="16">
        <v>10</v>
      </c>
      <c r="B66" s="16">
        <v>2</v>
      </c>
      <c r="C66" s="17">
        <f>IF('Start Here'!$B$5="","",'Start Here'!$B$5+ROW()-2)</f>
        <v>46285</v>
      </c>
      <c r="D66" s="18" t="str">
        <f t="shared" ref="D66:D79" si="2">IF($C66="","",TEXT($C66,"dddd"))</f>
        <v>Sunday</v>
      </c>
      <c r="E66" s="19" t="s">
        <v>31</v>
      </c>
      <c r="F66" s="19" t="s">
        <v>47</v>
      </c>
      <c r="G66" s="16" t="s">
        <v>48</v>
      </c>
      <c r="H66" s="16">
        <v>0</v>
      </c>
      <c r="I66" s="20" t="s">
        <v>47</v>
      </c>
      <c r="J66" s="21"/>
      <c r="K66" s="22"/>
      <c r="L66" s="21"/>
      <c r="M66" s="23"/>
    </row>
    <row r="67" spans="1:13" ht="19.5" customHeight="1" x14ac:dyDescent="0.2">
      <c r="A67" s="36">
        <v>10</v>
      </c>
      <c r="B67" s="36">
        <v>3</v>
      </c>
      <c r="C67" s="37">
        <f>IF('Start Here'!$B$5="","",'Start Here'!$B$5+ROW()-2)</f>
        <v>46286</v>
      </c>
      <c r="D67" s="38" t="str">
        <f t="shared" si="2"/>
        <v>Monday</v>
      </c>
      <c r="E67" s="39" t="s">
        <v>68</v>
      </c>
      <c r="F67" s="39" t="s">
        <v>33</v>
      </c>
      <c r="G67" s="36" t="s">
        <v>58</v>
      </c>
      <c r="H67" s="36">
        <v>50</v>
      </c>
      <c r="I67" s="20" t="s">
        <v>51</v>
      </c>
      <c r="J67" s="21"/>
      <c r="K67" s="22"/>
      <c r="L67" s="21"/>
      <c r="M67" s="23"/>
    </row>
    <row r="68" spans="1:13" ht="19.5" customHeight="1" x14ac:dyDescent="0.2">
      <c r="A68" s="24">
        <v>10</v>
      </c>
      <c r="B68" s="24">
        <v>4</v>
      </c>
      <c r="C68" s="25">
        <f>IF('Start Here'!$B$5="","",'Start Here'!$B$5+ROW()-2)</f>
        <v>46287</v>
      </c>
      <c r="D68" s="26" t="str">
        <f t="shared" si="2"/>
        <v>Tuesday</v>
      </c>
      <c r="E68" s="27" t="s">
        <v>53</v>
      </c>
      <c r="F68" s="27" t="s">
        <v>47</v>
      </c>
      <c r="G68" s="24" t="s">
        <v>50</v>
      </c>
      <c r="H68" s="24">
        <v>30</v>
      </c>
      <c r="I68" s="20" t="s">
        <v>51</v>
      </c>
      <c r="J68" s="21"/>
      <c r="K68" s="22"/>
      <c r="L68" s="21"/>
      <c r="M68" s="23"/>
    </row>
    <row r="69" spans="1:13" ht="19.5" customHeight="1" x14ac:dyDescent="0.2">
      <c r="A69" s="24">
        <v>10</v>
      </c>
      <c r="B69" s="24">
        <v>5</v>
      </c>
      <c r="C69" s="25">
        <f>IF('Start Here'!$B$5="","",'Start Here'!$B$5+ROW()-2)</f>
        <v>46288</v>
      </c>
      <c r="D69" s="26" t="str">
        <f t="shared" si="2"/>
        <v>Wednesday</v>
      </c>
      <c r="E69" s="27" t="s">
        <v>53</v>
      </c>
      <c r="F69" s="27" t="s">
        <v>47</v>
      </c>
      <c r="G69" s="24" t="s">
        <v>50</v>
      </c>
      <c r="H69" s="24">
        <v>30</v>
      </c>
      <c r="I69" s="20" t="s">
        <v>51</v>
      </c>
      <c r="J69" s="21"/>
      <c r="K69" s="22"/>
      <c r="L69" s="21"/>
      <c r="M69" s="23"/>
    </row>
    <row r="70" spans="1:13" ht="19.5" customHeight="1" x14ac:dyDescent="0.2">
      <c r="A70" s="36">
        <v>10</v>
      </c>
      <c r="B70" s="36">
        <v>6</v>
      </c>
      <c r="C70" s="37">
        <f>IF('Start Here'!$B$5="","",'Start Here'!$B$5+ROW()-2)</f>
        <v>46289</v>
      </c>
      <c r="D70" s="38" t="str">
        <f t="shared" si="2"/>
        <v>Thursday</v>
      </c>
      <c r="E70" s="39" t="s">
        <v>62</v>
      </c>
      <c r="F70" s="39" t="s">
        <v>69</v>
      </c>
      <c r="G70" s="36" t="s">
        <v>61</v>
      </c>
      <c r="H70" s="36">
        <v>45</v>
      </c>
      <c r="I70" s="20" t="s">
        <v>51</v>
      </c>
      <c r="J70" s="21"/>
      <c r="K70" s="22"/>
      <c r="L70" s="21"/>
      <c r="M70" s="23"/>
    </row>
    <row r="71" spans="1:13" ht="19.5" customHeight="1" thickBot="1" x14ac:dyDescent="0.25">
      <c r="A71" s="44">
        <v>10</v>
      </c>
      <c r="B71" s="44">
        <v>7</v>
      </c>
      <c r="C71" s="45">
        <f>IF('Start Here'!$B$5="","",'Start Here'!$B$5+ROW()-2)</f>
        <v>46290</v>
      </c>
      <c r="D71" s="46" t="str">
        <f t="shared" si="2"/>
        <v>Friday</v>
      </c>
      <c r="E71" s="47" t="s">
        <v>31</v>
      </c>
      <c r="F71" s="47" t="s">
        <v>47</v>
      </c>
      <c r="G71" s="44" t="s">
        <v>48</v>
      </c>
      <c r="H71" s="44">
        <v>0</v>
      </c>
      <c r="I71" s="32" t="s">
        <v>47</v>
      </c>
      <c r="J71" s="33"/>
      <c r="K71" s="34"/>
      <c r="L71" s="33"/>
      <c r="M71" s="35"/>
    </row>
    <row r="72" spans="1:13" ht="19.5" customHeight="1" x14ac:dyDescent="0.2">
      <c r="A72" s="24">
        <v>11</v>
      </c>
      <c r="B72" s="24">
        <v>1</v>
      </c>
      <c r="C72" s="25">
        <f>IF('Start Here'!$B$5="","",'Start Here'!$B$5+ROW()-2)</f>
        <v>46291</v>
      </c>
      <c r="D72" s="26" t="str">
        <f t="shared" si="2"/>
        <v>Saturday</v>
      </c>
      <c r="E72" s="27" t="s">
        <v>53</v>
      </c>
      <c r="F72" s="27" t="s">
        <v>47</v>
      </c>
      <c r="G72" s="24" t="s">
        <v>50</v>
      </c>
      <c r="H72" s="24">
        <v>30</v>
      </c>
      <c r="I72" s="20" t="s">
        <v>51</v>
      </c>
      <c r="J72" s="21"/>
      <c r="K72" s="22"/>
      <c r="L72" s="21"/>
      <c r="M72" s="23"/>
    </row>
    <row r="73" spans="1:13" ht="19.5" customHeight="1" x14ac:dyDescent="0.2">
      <c r="A73" s="16">
        <v>11</v>
      </c>
      <c r="B73" s="16">
        <v>2</v>
      </c>
      <c r="C73" s="17">
        <f>IF('Start Here'!$B$5="","",'Start Here'!$B$5+ROW()-2)</f>
        <v>46292</v>
      </c>
      <c r="D73" s="18" t="str">
        <f t="shared" si="2"/>
        <v>Sunday</v>
      </c>
      <c r="E73" s="19" t="s">
        <v>31</v>
      </c>
      <c r="F73" s="19" t="s">
        <v>47</v>
      </c>
      <c r="G73" s="16" t="s">
        <v>48</v>
      </c>
      <c r="H73" s="16">
        <v>0</v>
      </c>
      <c r="I73" s="20" t="s">
        <v>47</v>
      </c>
      <c r="J73" s="21"/>
      <c r="K73" s="22"/>
      <c r="L73" s="21"/>
      <c r="M73" s="23"/>
    </row>
    <row r="74" spans="1:13" ht="19.5" customHeight="1" x14ac:dyDescent="0.2">
      <c r="A74" s="36">
        <v>11</v>
      </c>
      <c r="B74" s="36">
        <v>3</v>
      </c>
      <c r="C74" s="37">
        <f>IF('Start Here'!$B$5="","",'Start Here'!$B$5+ROW()-2)</f>
        <v>46293</v>
      </c>
      <c r="D74" s="38" t="str">
        <f t="shared" si="2"/>
        <v>Monday</v>
      </c>
      <c r="E74" s="39" t="s">
        <v>70</v>
      </c>
      <c r="F74" s="39" t="s">
        <v>66</v>
      </c>
      <c r="G74" s="36" t="s">
        <v>58</v>
      </c>
      <c r="H74" s="36">
        <v>60</v>
      </c>
      <c r="I74" s="20" t="s">
        <v>51</v>
      </c>
      <c r="J74" s="21"/>
      <c r="K74" s="22"/>
      <c r="L74" s="21"/>
      <c r="M74" s="23"/>
    </row>
    <row r="75" spans="1:13" ht="19.5" customHeight="1" x14ac:dyDescent="0.2">
      <c r="A75" s="24">
        <v>11</v>
      </c>
      <c r="B75" s="24">
        <v>4</v>
      </c>
      <c r="C75" s="25">
        <f>IF('Start Here'!$B$5="","",'Start Here'!$B$5+ROW()-2)</f>
        <v>46294</v>
      </c>
      <c r="D75" s="26" t="str">
        <f t="shared" si="2"/>
        <v>Tuesday</v>
      </c>
      <c r="E75" s="27" t="s">
        <v>54</v>
      </c>
      <c r="F75" s="27" t="s">
        <v>47</v>
      </c>
      <c r="G75" s="24" t="s">
        <v>50</v>
      </c>
      <c r="H75" s="24">
        <v>35</v>
      </c>
      <c r="I75" s="20" t="s">
        <v>51</v>
      </c>
      <c r="J75" s="21"/>
      <c r="K75" s="22"/>
      <c r="L75" s="21"/>
      <c r="M75" s="23"/>
    </row>
    <row r="76" spans="1:13" ht="19.5" customHeight="1" x14ac:dyDescent="0.2">
      <c r="A76" s="24">
        <v>11</v>
      </c>
      <c r="B76" s="24">
        <v>5</v>
      </c>
      <c r="C76" s="25">
        <f>IF('Start Here'!$B$5="","",'Start Here'!$B$5+ROW()-2)</f>
        <v>46295</v>
      </c>
      <c r="D76" s="26" t="str">
        <f t="shared" si="2"/>
        <v>Wednesday</v>
      </c>
      <c r="E76" s="27" t="s">
        <v>55</v>
      </c>
      <c r="F76" s="27" t="s">
        <v>47</v>
      </c>
      <c r="G76" s="24" t="s">
        <v>50</v>
      </c>
      <c r="H76" s="24">
        <v>40</v>
      </c>
      <c r="I76" s="20" t="s">
        <v>51</v>
      </c>
      <c r="J76" s="21"/>
      <c r="K76" s="22"/>
      <c r="L76" s="21"/>
      <c r="M76" s="23"/>
    </row>
    <row r="77" spans="1:13" ht="19.5" customHeight="1" x14ac:dyDescent="0.2">
      <c r="A77" s="24">
        <v>11</v>
      </c>
      <c r="B77" s="24">
        <v>6</v>
      </c>
      <c r="C77" s="25">
        <f>IF('Start Here'!$B$5="","",'Start Here'!$B$5+ROW()-2)</f>
        <v>46296</v>
      </c>
      <c r="D77" s="26" t="str">
        <f t="shared" si="2"/>
        <v>Thursday</v>
      </c>
      <c r="E77" s="27" t="s">
        <v>53</v>
      </c>
      <c r="F77" s="27" t="s">
        <v>47</v>
      </c>
      <c r="G77" s="24" t="s">
        <v>50</v>
      </c>
      <c r="H77" s="24">
        <v>30</v>
      </c>
      <c r="I77" s="20" t="s">
        <v>51</v>
      </c>
      <c r="J77" s="21"/>
      <c r="K77" s="22"/>
      <c r="L77" s="21"/>
      <c r="M77" s="23"/>
    </row>
    <row r="78" spans="1:13" ht="19.5" customHeight="1" x14ac:dyDescent="0.2">
      <c r="A78" s="44">
        <v>11</v>
      </c>
      <c r="B78" s="44">
        <v>7</v>
      </c>
      <c r="C78" s="45">
        <f>IF('Start Here'!$B$5="","",'Start Here'!$B$5+ROW()-2)</f>
        <v>46297</v>
      </c>
      <c r="D78" s="46" t="str">
        <f t="shared" si="2"/>
        <v>Friday</v>
      </c>
      <c r="E78" s="47" t="s">
        <v>31</v>
      </c>
      <c r="F78" s="47" t="s">
        <v>47</v>
      </c>
      <c r="G78" s="44" t="s">
        <v>48</v>
      </c>
      <c r="H78" s="44">
        <v>0</v>
      </c>
      <c r="I78" s="32" t="s">
        <v>47</v>
      </c>
      <c r="J78" s="33"/>
      <c r="K78" s="34"/>
      <c r="L78" s="33"/>
      <c r="M78" s="35"/>
    </row>
    <row r="79" spans="1:13" ht="19.5" customHeight="1" x14ac:dyDescent="0.2">
      <c r="A79" s="28">
        <v>12</v>
      </c>
      <c r="B79" s="28">
        <v>1</v>
      </c>
      <c r="C79" s="29">
        <f>IF('Start Here'!$B$5="","",'Start Here'!$B$5+ROW()-2)</f>
        <v>46298</v>
      </c>
      <c r="D79" s="30" t="str">
        <f t="shared" si="2"/>
        <v>Saturday</v>
      </c>
      <c r="E79" s="31" t="s">
        <v>54</v>
      </c>
      <c r="F79" s="31" t="s">
        <v>47</v>
      </c>
      <c r="G79" s="28" t="s">
        <v>50</v>
      </c>
      <c r="H79" s="28">
        <v>35</v>
      </c>
      <c r="I79" s="32" t="s">
        <v>51</v>
      </c>
      <c r="J79" s="33"/>
      <c r="K79" s="34"/>
      <c r="L79" s="33"/>
      <c r="M79" s="35"/>
    </row>
    <row r="80" spans="1:13" ht="24" customHeight="1" x14ac:dyDescent="0.2">
      <c r="A80" s="68" t="s">
        <v>71</v>
      </c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</row>
    <row r="82" spans="1:1" x14ac:dyDescent="0.2">
      <c r="A82" s="48" t="s">
        <v>72</v>
      </c>
    </row>
    <row r="83" spans="1:1" x14ac:dyDescent="0.2">
      <c r="A83" s="48" t="s">
        <v>73</v>
      </c>
    </row>
    <row r="84" spans="1:1" x14ac:dyDescent="0.2">
      <c r="A84" s="48" t="s">
        <v>74</v>
      </c>
    </row>
    <row r="85" spans="1:1" x14ac:dyDescent="0.2">
      <c r="A85" s="48" t="s">
        <v>75</v>
      </c>
    </row>
  </sheetData>
  <autoFilter ref="A1:M79" xr:uid="{00000000-0009-0000-0000-000001000000}"/>
  <mergeCells count="1">
    <mergeCell ref="A80:M80"/>
  </mergeCells>
  <conditionalFormatting sqref="A2:M79">
    <cfRule type="expression" dxfId="0" priority="2">
      <formula>AND($C2&lt;&gt;"",$C2=TODAY())</formula>
    </cfRule>
  </conditionalFormatting>
  <dataValidations count="2">
    <dataValidation type="list" allowBlank="1" error="Choose Yes, No or Partial." sqref="I2:I79" xr:uid="{00000000-0002-0000-0100-000000000000}">
      <formula1>"Yes,No,Partial"</formula1>
      <formula2>0</formula2>
    </dataValidation>
    <dataValidation type="whole" allowBlank="1" error="Enter a whole number from 1 (rough) to 5 (great)." sqref="L2:L79" xr:uid="{00000000-0002-0000-0100-000001000000}">
      <formula1>1</formula1>
      <formula2>5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1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20" sqref="E20"/>
    </sheetView>
  </sheetViews>
  <sheetFormatPr baseColWidth="10" defaultColWidth="8.6640625" defaultRowHeight="15" x14ac:dyDescent="0.2"/>
  <cols>
    <col min="1" max="1" width="7" customWidth="1"/>
    <col min="2" max="8" width="16" customWidth="1"/>
    <col min="9" max="11" width="13" customWidth="1"/>
  </cols>
  <sheetData>
    <row r="1" spans="1:11" ht="20" x14ac:dyDescent="0.2">
      <c r="A1" s="49" t="s">
        <v>76</v>
      </c>
    </row>
    <row r="2" spans="1:11" x14ac:dyDescent="0.2">
      <c r="A2" s="1" t="s">
        <v>77</v>
      </c>
    </row>
    <row r="4" spans="1:11" ht="30" customHeight="1" x14ac:dyDescent="0.2">
      <c r="A4" s="5" t="s">
        <v>45</v>
      </c>
      <c r="B4" s="5" t="str">
        <f>TEXT('Start Here'!$B$5+0,"dddd")</f>
        <v>Saturday</v>
      </c>
      <c r="C4" s="5" t="str">
        <f>TEXT('Start Here'!$B$5+1,"dddd")</f>
        <v>Sunday</v>
      </c>
      <c r="D4" s="5" t="str">
        <f>TEXT('Start Here'!$B$5+2,"dddd")</f>
        <v>Monday</v>
      </c>
      <c r="E4" s="5" t="str">
        <f>TEXT('Start Here'!$B$5+3,"dddd")</f>
        <v>Tuesday</v>
      </c>
      <c r="F4" s="5" t="str">
        <f>TEXT('Start Here'!$B$5+4,"dddd")</f>
        <v>Wednesday</v>
      </c>
      <c r="G4" s="5" t="str">
        <f>TEXT('Start Here'!$B$5+5,"dddd")</f>
        <v>Thursday</v>
      </c>
      <c r="H4" s="5" t="str">
        <f>TEXT('Start Here'!$B$5+6,"dddd")</f>
        <v>Friday</v>
      </c>
      <c r="I4" s="5" t="s">
        <v>78</v>
      </c>
      <c r="J4" s="5" t="s">
        <v>11</v>
      </c>
      <c r="K4" s="5" t="s">
        <v>79</v>
      </c>
    </row>
    <row r="5" spans="1:11" ht="42" customHeight="1" x14ac:dyDescent="0.2">
      <c r="A5" s="50">
        <v>1</v>
      </c>
      <c r="B5" s="51" t="str">
        <f>INDEX('Daily Plan'!$E:$E,1+(1-1)*7+1)&amp;IF(INDEX('Daily Plan'!$F:$F,1+(1-1)*7+1)="—","",CHAR(10)&amp;INDEX('Daily Plan'!$F:$F,1+(1-1)*7+1))</f>
        <v>off</v>
      </c>
      <c r="C5" s="52" t="str">
        <f>INDEX('Daily Plan'!$E:$E,1+(1-1)*7+2)&amp;IF(INDEX('Daily Plan'!$F:$F,1+(1-1)*7+2)="—","",CHAR(10)&amp;INDEX('Daily Plan'!$F:$F,1+(1-1)*7+2))</f>
        <v>20 min easy</v>
      </c>
      <c r="D5" s="51" t="str">
        <f>INDEX('Daily Plan'!$E:$E,1+(1-1)*7+3)&amp;IF(INDEX('Daily Plan'!$F:$F,1+(1-1)*7+3)="—","",CHAR(10)&amp;INDEX('Daily Plan'!$F:$F,1+(1-1)*7+3))</f>
        <v>off</v>
      </c>
      <c r="E5" s="52" t="str">
        <f>INDEX('Daily Plan'!$E:$E,1+(1-1)*7+4)&amp;IF(INDEX('Daily Plan'!$F:$F,1+(1-1)*7+4)="—","",CHAR(10)&amp;INDEX('Daily Plan'!$F:$F,1+(1-1)*7+4))</f>
        <v>20 min easy</v>
      </c>
      <c r="F5" s="51" t="str">
        <f>INDEX('Daily Plan'!$E:$E,1+(1-1)*7+5)&amp;IF(INDEX('Daily Plan'!$F:$F,1+(1-1)*7+5)="—","",CHAR(10)&amp;INDEX('Daily Plan'!$F:$F,1+(1-1)*7+5))</f>
        <v>off</v>
      </c>
      <c r="G5" s="52" t="str">
        <f>INDEX('Daily Plan'!$E:$E,1+(1-1)*7+6)&amp;IF(INDEX('Daily Plan'!$F:$F,1+(1-1)*7+6)="—","",CHAR(10)&amp;INDEX('Daily Plan'!$F:$F,1+(1-1)*7+6))</f>
        <v>20 min easy</v>
      </c>
      <c r="H5" s="52" t="str">
        <f>INDEX('Daily Plan'!$E:$E,1+(1-1)*7+7)&amp;IF(INDEX('Daily Plan'!$F:$F,1+(1-1)*7+7)="—","",CHAR(10)&amp;INDEX('Daily Plan'!$F:$F,1+(1-1)*7+7))</f>
        <v>20 min easy</v>
      </c>
      <c r="I5" s="53" t="str">
        <f>TEXT('Start Here'!$B$5+0,"mmm d")&amp;" – "&amp;TEXT('Start Here'!$B$5+6,"mmm d")</f>
        <v>Jul 18 – Jul 24</v>
      </c>
      <c r="J5" s="53">
        <f>SUMIFS('Daily Plan'!$H:$H,'Daily Plan'!$A:$A,$A5)</f>
        <v>80</v>
      </c>
      <c r="K5" s="53">
        <f>SUMIFS('Daily Plan'!$J:$J,'Daily Plan'!$A:$A,$A5)</f>
        <v>0</v>
      </c>
    </row>
    <row r="6" spans="1:11" ht="42" customHeight="1" x14ac:dyDescent="0.2">
      <c r="A6" s="50">
        <v>2</v>
      </c>
      <c r="B6" s="52" t="str">
        <f>INDEX('Daily Plan'!$E:$E,1+(2-1)*7+1)&amp;IF(INDEX('Daily Plan'!$F:$F,1+(2-1)*7+1)="—","",CHAR(10)&amp;INDEX('Daily Plan'!$F:$F,1+(2-1)*7+1))</f>
        <v>20 min easy</v>
      </c>
      <c r="C6" s="51" t="str">
        <f>INDEX('Daily Plan'!$E:$E,1+(2-1)*7+2)&amp;IF(INDEX('Daily Plan'!$F:$F,1+(2-1)*7+2)="—","",CHAR(10)&amp;INDEX('Daily Plan'!$F:$F,1+(2-1)*7+2))</f>
        <v>off</v>
      </c>
      <c r="D6" s="52" t="str">
        <f>INDEX('Daily Plan'!$E:$E,1+(2-1)*7+3)&amp;IF(INDEX('Daily Plan'!$F:$F,1+(2-1)*7+3)="—","",CHAR(10)&amp;INDEX('Daily Plan'!$F:$F,1+(2-1)*7+3))</f>
        <v>25 min easy</v>
      </c>
      <c r="E6" s="52" t="str">
        <f>INDEX('Daily Plan'!$E:$E,1+(2-1)*7+4)&amp;IF(INDEX('Daily Plan'!$F:$F,1+(2-1)*7+4)="—","",CHAR(10)&amp;INDEX('Daily Plan'!$F:$F,1+(2-1)*7+4))</f>
        <v>25 min easy</v>
      </c>
      <c r="F6" s="51" t="str">
        <f>INDEX('Daily Plan'!$E:$E,1+(2-1)*7+5)&amp;IF(INDEX('Daily Plan'!$F:$F,1+(2-1)*7+5)="—","",CHAR(10)&amp;INDEX('Daily Plan'!$F:$F,1+(2-1)*7+5))</f>
        <v>off</v>
      </c>
      <c r="G6" s="52" t="str">
        <f>INDEX('Daily Plan'!$E:$E,1+(2-1)*7+6)&amp;IF(INDEX('Daily Plan'!$F:$F,1+(2-1)*7+6)="—","",CHAR(10)&amp;INDEX('Daily Plan'!$F:$F,1+(2-1)*7+6))</f>
        <v>20 min easy</v>
      </c>
      <c r="H6" s="52" t="str">
        <f>INDEX('Daily Plan'!$E:$E,1+(2-1)*7+7)&amp;IF(INDEX('Daily Plan'!$F:$F,1+(2-1)*7+7)="—","",CHAR(10)&amp;INDEX('Daily Plan'!$F:$F,1+(2-1)*7+7))</f>
        <v>25 min easy</v>
      </c>
      <c r="I6" s="53" t="str">
        <f>TEXT('Start Here'!$B$5+7,"mmm d")&amp;" – "&amp;TEXT('Start Here'!$B$5+13,"mmm d")</f>
        <v>Jul 25 – Jul 31</v>
      </c>
      <c r="J6" s="53">
        <f>SUMIFS('Daily Plan'!$H:$H,'Daily Plan'!$A:$A,$A6)</f>
        <v>115</v>
      </c>
      <c r="K6" s="53">
        <f>SUMIFS('Daily Plan'!$J:$J,'Daily Plan'!$A:$A,$A6)</f>
        <v>0</v>
      </c>
    </row>
    <row r="7" spans="1:11" ht="42" customHeight="1" x14ac:dyDescent="0.2">
      <c r="A7" s="50">
        <v>3</v>
      </c>
      <c r="B7" s="52" t="str">
        <f>INDEX('Daily Plan'!$E:$E,1+(3-1)*7+1)&amp;IF(INDEX('Daily Plan'!$F:$F,1+(3-1)*7+1)="—","",CHAR(10)&amp;INDEX('Daily Plan'!$F:$F,1+(3-1)*7+1))</f>
        <v>20 min easy</v>
      </c>
      <c r="C7" s="51" t="str">
        <f>INDEX('Daily Plan'!$E:$E,1+(3-1)*7+2)&amp;IF(INDEX('Daily Plan'!$F:$F,1+(3-1)*7+2)="—","",CHAR(10)&amp;INDEX('Daily Plan'!$F:$F,1+(3-1)*7+2))</f>
        <v>off</v>
      </c>
      <c r="D7" s="52" t="str">
        <f>INDEX('Daily Plan'!$E:$E,1+(3-1)*7+3)&amp;IF(INDEX('Daily Plan'!$F:$F,1+(3-1)*7+3)="—","",CHAR(10)&amp;INDEX('Daily Plan'!$F:$F,1+(3-1)*7+3))</f>
        <v>30 min easy</v>
      </c>
      <c r="E7" s="52" t="str">
        <f>INDEX('Daily Plan'!$E:$E,1+(3-1)*7+4)&amp;IF(INDEX('Daily Plan'!$F:$F,1+(3-1)*7+4)="—","",CHAR(10)&amp;INDEX('Daily Plan'!$F:$F,1+(3-1)*7+4))</f>
        <v>30 min easy</v>
      </c>
      <c r="F7" s="51" t="str">
        <f>INDEX('Daily Plan'!$E:$E,1+(3-1)*7+5)&amp;IF(INDEX('Daily Plan'!$F:$F,1+(3-1)*7+5)="—","",CHAR(10)&amp;INDEX('Daily Plan'!$F:$F,1+(3-1)*7+5))</f>
        <v>off</v>
      </c>
      <c r="G7" s="52" t="str">
        <f>INDEX('Daily Plan'!$E:$E,1+(3-1)*7+6)&amp;IF(INDEX('Daily Plan'!$F:$F,1+(3-1)*7+6)="—","",CHAR(10)&amp;INDEX('Daily Plan'!$F:$F,1+(3-1)*7+6))</f>
        <v>25 min easy</v>
      </c>
      <c r="H7" s="52" t="str">
        <f>INDEX('Daily Plan'!$E:$E,1+(3-1)*7+7)&amp;IF(INDEX('Daily Plan'!$F:$F,1+(3-1)*7+7)="—","",CHAR(10)&amp;INDEX('Daily Plan'!$F:$F,1+(3-1)*7+7))</f>
        <v>25 min easy</v>
      </c>
      <c r="I7" s="53" t="str">
        <f>TEXT('Start Here'!$B$5+14,"mmm d")&amp;" – "&amp;TEXT('Start Here'!$B$5+20,"mmm d")</f>
        <v>Aug 1 – Aug 7</v>
      </c>
      <c r="J7" s="53">
        <f>SUMIFS('Daily Plan'!$H:$H,'Daily Plan'!$A:$A,$A7)</f>
        <v>130</v>
      </c>
      <c r="K7" s="53">
        <f>SUMIFS('Daily Plan'!$J:$J,'Daily Plan'!$A:$A,$A7)</f>
        <v>0</v>
      </c>
    </row>
    <row r="8" spans="1:11" ht="42" customHeight="1" x14ac:dyDescent="0.2">
      <c r="A8" s="50">
        <v>4</v>
      </c>
      <c r="B8" s="52" t="str">
        <f>INDEX('Daily Plan'!$E:$E,1+(4-1)*7+1)&amp;IF(INDEX('Daily Plan'!$F:$F,1+(4-1)*7+1)="—","",CHAR(10)&amp;INDEX('Daily Plan'!$F:$F,1+(4-1)*7+1))</f>
        <v>20 min easy</v>
      </c>
      <c r="C8" s="51" t="str">
        <f>INDEX('Daily Plan'!$E:$E,1+(4-1)*7+2)&amp;IF(INDEX('Daily Plan'!$F:$F,1+(4-1)*7+2)="—","",CHAR(10)&amp;INDEX('Daily Plan'!$F:$F,1+(4-1)*7+2))</f>
        <v>off</v>
      </c>
      <c r="D8" s="52" t="str">
        <f>INDEX('Daily Plan'!$E:$E,1+(4-1)*7+3)&amp;IF(INDEX('Daily Plan'!$F:$F,1+(4-1)*7+3)="—","",CHAR(10)&amp;INDEX('Daily Plan'!$F:$F,1+(4-1)*7+3))</f>
        <v>30 min easy</v>
      </c>
      <c r="E8" s="52" t="str">
        <f>INDEX('Daily Plan'!$E:$E,1+(4-1)*7+4)&amp;IF(INDEX('Daily Plan'!$F:$F,1+(4-1)*7+4)="—","",CHAR(10)&amp;INDEX('Daily Plan'!$F:$F,1+(4-1)*7+4))</f>
        <v>30 min easy</v>
      </c>
      <c r="F8" s="51" t="str">
        <f>INDEX('Daily Plan'!$E:$E,1+(4-1)*7+5)&amp;IF(INDEX('Daily Plan'!$F:$F,1+(4-1)*7+5)="—","",CHAR(10)&amp;INDEX('Daily Plan'!$F:$F,1+(4-1)*7+5))</f>
        <v>off</v>
      </c>
      <c r="G8" s="52" t="str">
        <f>INDEX('Daily Plan'!$E:$E,1+(4-1)*7+6)&amp;IF(INDEX('Daily Plan'!$F:$F,1+(4-1)*7+6)="—","",CHAR(10)&amp;INDEX('Daily Plan'!$F:$F,1+(4-1)*7+6))</f>
        <v>35 min easy</v>
      </c>
      <c r="H8" s="52" t="str">
        <f>INDEX('Daily Plan'!$E:$E,1+(4-1)*7+7)&amp;IF(INDEX('Daily Plan'!$F:$F,1+(4-1)*7+7)="—","",CHAR(10)&amp;INDEX('Daily Plan'!$F:$F,1+(4-1)*7+7))</f>
        <v>20 min easy</v>
      </c>
      <c r="I8" s="53" t="str">
        <f>TEXT('Start Here'!$B$5+21,"mmm d")&amp;" – "&amp;TEXT('Start Here'!$B$5+27,"mmm d")</f>
        <v>Aug 8 – Aug 14</v>
      </c>
      <c r="J8" s="53">
        <f>SUMIFS('Daily Plan'!$H:$H,'Daily Plan'!$A:$A,$A8)</f>
        <v>135</v>
      </c>
      <c r="K8" s="53">
        <f>SUMIFS('Daily Plan'!$J:$J,'Daily Plan'!$A:$A,$A8)</f>
        <v>0</v>
      </c>
    </row>
    <row r="9" spans="1:11" ht="42" customHeight="1" x14ac:dyDescent="0.2">
      <c r="A9" s="50">
        <v>5</v>
      </c>
      <c r="B9" s="52" t="str">
        <f>INDEX('Daily Plan'!$E:$E,1+(5-1)*7+1)&amp;IF(INDEX('Daily Plan'!$F:$F,1+(5-1)*7+1)="—","",CHAR(10)&amp;INDEX('Daily Plan'!$F:$F,1+(5-1)*7+1))</f>
        <v>25 min easy</v>
      </c>
      <c r="C9" s="51" t="str">
        <f>INDEX('Daily Plan'!$E:$E,1+(5-1)*7+2)&amp;IF(INDEX('Daily Plan'!$F:$F,1+(5-1)*7+2)="—","",CHAR(10)&amp;INDEX('Daily Plan'!$F:$F,1+(5-1)*7+2))</f>
        <v>off</v>
      </c>
      <c r="D9" s="52" t="str">
        <f>INDEX('Daily Plan'!$E:$E,1+(5-1)*7+3)&amp;IF(INDEX('Daily Plan'!$F:$F,1+(5-1)*7+3)="—","",CHAR(10)&amp;INDEX('Daily Plan'!$F:$F,1+(5-1)*7+3))</f>
        <v>35 min easy</v>
      </c>
      <c r="E9" s="52" t="str">
        <f>INDEX('Daily Plan'!$E:$E,1+(5-1)*7+4)&amp;IF(INDEX('Daily Plan'!$F:$F,1+(5-1)*7+4)="—","",CHAR(10)&amp;INDEX('Daily Plan'!$F:$F,1+(5-1)*7+4))</f>
        <v>35 min easy</v>
      </c>
      <c r="F9" s="51" t="str">
        <f>INDEX('Daily Plan'!$E:$E,1+(5-1)*7+5)&amp;IF(INDEX('Daily Plan'!$F:$F,1+(5-1)*7+5)="—","",CHAR(10)&amp;INDEX('Daily Plan'!$F:$F,1+(5-1)*7+5))</f>
        <v>off</v>
      </c>
      <c r="G9" s="52" t="str">
        <f>INDEX('Daily Plan'!$E:$E,1+(5-1)*7+6)&amp;IF(INDEX('Daily Plan'!$F:$F,1+(5-1)*7+6)="—","",CHAR(10)&amp;INDEX('Daily Plan'!$F:$F,1+(5-1)*7+6))</f>
        <v>20 min easy</v>
      </c>
      <c r="H9" s="52" t="str">
        <f>INDEX('Daily Plan'!$E:$E,1+(5-1)*7+7)&amp;IF(INDEX('Daily Plan'!$F:$F,1+(5-1)*7+7)="—","",CHAR(10)&amp;INDEX('Daily Plan'!$F:$F,1+(5-1)*7+7))</f>
        <v>20 min easy</v>
      </c>
      <c r="I9" s="53" t="str">
        <f>TEXT('Start Here'!$B$5+28,"mmm d")&amp;" – "&amp;TEXT('Start Here'!$B$5+34,"mmm d")</f>
        <v>Aug 15 – Aug 21</v>
      </c>
      <c r="J9" s="53">
        <f>SUMIFS('Daily Plan'!$H:$H,'Daily Plan'!$A:$A,$A9)</f>
        <v>135</v>
      </c>
      <c r="K9" s="53">
        <f>SUMIFS('Daily Plan'!$J:$J,'Daily Plan'!$A:$A,$A9)</f>
        <v>0</v>
      </c>
    </row>
    <row r="10" spans="1:11" ht="42" customHeight="1" x14ac:dyDescent="0.2">
      <c r="A10" s="50">
        <v>6</v>
      </c>
      <c r="B10" s="52" t="str">
        <f>INDEX('Daily Plan'!$E:$E,1+(6-1)*7+1)&amp;IF(INDEX('Daily Plan'!$F:$F,1+(6-1)*7+1)="—","",CHAR(10)&amp;INDEX('Daily Plan'!$F:$F,1+(6-1)*7+1))</f>
        <v>35 min easy</v>
      </c>
      <c r="C10" s="51" t="str">
        <f>INDEX('Daily Plan'!$E:$E,1+(6-1)*7+2)&amp;IF(INDEX('Daily Plan'!$F:$F,1+(6-1)*7+2)="—","",CHAR(10)&amp;INDEX('Daily Plan'!$F:$F,1+(6-1)*7+2))</f>
        <v>off</v>
      </c>
      <c r="D10" s="52" t="str">
        <f>INDEX('Daily Plan'!$E:$E,1+(6-1)*7+3)&amp;IF(INDEX('Daily Plan'!$F:$F,1+(6-1)*7+3)="—","",CHAR(10)&amp;INDEX('Daily Plan'!$F:$F,1+(6-1)*7+3))</f>
        <v>35 min easy</v>
      </c>
      <c r="E10" s="52" t="str">
        <f>INDEX('Daily Plan'!$E:$E,1+(6-1)*7+4)&amp;IF(INDEX('Daily Plan'!$F:$F,1+(6-1)*7+4)="—","",CHAR(10)&amp;INDEX('Daily Plan'!$F:$F,1+(6-1)*7+4))</f>
        <v>35 min easy</v>
      </c>
      <c r="F10" s="51" t="str">
        <f>INDEX('Daily Plan'!$E:$E,1+(6-1)*7+5)&amp;IF(INDEX('Daily Plan'!$F:$F,1+(6-1)*7+5)="—","",CHAR(10)&amp;INDEX('Daily Plan'!$F:$F,1+(6-1)*7+5))</f>
        <v>off</v>
      </c>
      <c r="G10" s="52" t="str">
        <f>INDEX('Daily Plan'!$E:$E,1+(6-1)*7+6)&amp;IF(INDEX('Daily Plan'!$F:$F,1+(6-1)*7+6)="—","",CHAR(10)&amp;INDEX('Daily Plan'!$F:$F,1+(6-1)*7+6))</f>
        <v>40 min easy</v>
      </c>
      <c r="H10" s="52" t="str">
        <f>INDEX('Daily Plan'!$E:$E,1+(6-1)*7+7)&amp;IF(INDEX('Daily Plan'!$F:$F,1+(6-1)*7+7)="—","",CHAR(10)&amp;INDEX('Daily Plan'!$F:$F,1+(6-1)*7+7))</f>
        <v>20 min easy</v>
      </c>
      <c r="I10" s="53" t="str">
        <f>TEXT('Start Here'!$B$5+35,"mmm d")&amp;" – "&amp;TEXT('Start Here'!$B$5+41,"mmm d")</f>
        <v>Aug 22 – Aug 28</v>
      </c>
      <c r="J10" s="53">
        <f>SUMIFS('Daily Plan'!$H:$H,'Daily Plan'!$A:$A,$A10)</f>
        <v>165</v>
      </c>
      <c r="K10" s="53">
        <f>SUMIFS('Daily Plan'!$J:$J,'Daily Plan'!$A:$A,$A10)</f>
        <v>0</v>
      </c>
    </row>
    <row r="11" spans="1:11" ht="42" customHeight="1" x14ac:dyDescent="0.2">
      <c r="A11" s="50">
        <v>7</v>
      </c>
      <c r="B11" s="52" t="str">
        <f>INDEX('Daily Plan'!$E:$E,1+(7-1)*7+1)&amp;IF(INDEX('Daily Plan'!$F:$F,1+(7-1)*7+1)="—","",CHAR(10)&amp;INDEX('Daily Plan'!$F:$F,1+(7-1)*7+1))</f>
        <v>20 min easy</v>
      </c>
      <c r="C11" s="51" t="str">
        <f>INDEX('Daily Plan'!$E:$E,1+(7-1)*7+2)&amp;IF(INDEX('Daily Plan'!$F:$F,1+(7-1)*7+2)="—","",CHAR(10)&amp;INDEX('Daily Plan'!$F:$F,1+(7-1)*7+2))</f>
        <v>off</v>
      </c>
      <c r="D11" s="52" t="str">
        <f>INDEX('Daily Plan'!$E:$E,1+(7-1)*7+3)&amp;IF(INDEX('Daily Plan'!$F:$F,1+(7-1)*7+3)="—","",CHAR(10)&amp;INDEX('Daily Plan'!$F:$F,1+(7-1)*7+3))</f>
        <v>40 min easy</v>
      </c>
      <c r="E11" s="54" t="str">
        <f>INDEX('Daily Plan'!$E:$E,1+(7-1)*7+4)&amp;IF(INDEX('Daily Plan'!$F:$F,1+(7-1)*7+4)="—","",CHAR(10)&amp;INDEX('Daily Plan'!$F:$F,1+(7-1)*7+4))</f>
        <v>40 min run
1 x 5 min tempo</v>
      </c>
      <c r="F11" s="51" t="str">
        <f>INDEX('Daily Plan'!$E:$E,1+(7-1)*7+5)&amp;IF(INDEX('Daily Plan'!$F:$F,1+(7-1)*7+5)="—","",CHAR(10)&amp;INDEX('Daily Plan'!$F:$F,1+(7-1)*7+5))</f>
        <v>off</v>
      </c>
      <c r="G11" s="52" t="str">
        <f>INDEX('Daily Plan'!$E:$E,1+(7-1)*7+6)&amp;IF(INDEX('Daily Plan'!$F:$F,1+(7-1)*7+6)="—","",CHAR(10)&amp;INDEX('Daily Plan'!$F:$F,1+(7-1)*7+6))</f>
        <v>30 min easy</v>
      </c>
      <c r="H11" s="54" t="str">
        <f>INDEX('Daily Plan'!$E:$E,1+(7-1)*7+7)&amp;IF(INDEX('Daily Plan'!$F:$F,1+(7-1)*7+7)="—","",CHAR(10)&amp;INDEX('Daily Plan'!$F:$F,1+(7-1)*7+7))</f>
        <v>30 min run
5 x 1 min pickups</v>
      </c>
      <c r="I11" s="53" t="str">
        <f>TEXT('Start Here'!$B$5+42,"mmm d")&amp;" – "&amp;TEXT('Start Here'!$B$5+48,"mmm d")</f>
        <v>Aug 29 – Sep 4</v>
      </c>
      <c r="J11" s="53">
        <f>SUMIFS('Daily Plan'!$H:$H,'Daily Plan'!$A:$A,$A11)</f>
        <v>160</v>
      </c>
      <c r="K11" s="53">
        <f>SUMIFS('Daily Plan'!$J:$J,'Daily Plan'!$A:$A,$A11)</f>
        <v>0</v>
      </c>
    </row>
    <row r="12" spans="1:11" ht="42" customHeight="1" x14ac:dyDescent="0.2">
      <c r="A12" s="50">
        <v>8</v>
      </c>
      <c r="B12" s="52" t="str">
        <f>INDEX('Daily Plan'!$E:$E,1+(8-1)*7+1)&amp;IF(INDEX('Daily Plan'!$F:$F,1+(8-1)*7+1)="—","",CHAR(10)&amp;INDEX('Daily Plan'!$F:$F,1+(8-1)*7+1))</f>
        <v>30 min easy</v>
      </c>
      <c r="C12" s="51" t="str">
        <f>INDEX('Daily Plan'!$E:$E,1+(8-1)*7+2)&amp;IF(INDEX('Daily Plan'!$F:$F,1+(8-1)*7+2)="—","",CHAR(10)&amp;INDEX('Daily Plan'!$F:$F,1+(8-1)*7+2))</f>
        <v>off</v>
      </c>
      <c r="D12" s="54" t="str">
        <f>INDEX('Daily Plan'!$E:$E,1+(8-1)*7+3)&amp;IF(INDEX('Daily Plan'!$F:$F,1+(8-1)*7+3)="—","",CHAR(10)&amp;INDEX('Daily Plan'!$F:$F,1+(8-1)*7+3))</f>
        <v>45 min run
2 x 4 min tempo</v>
      </c>
      <c r="E12" s="52" t="str">
        <f>INDEX('Daily Plan'!$E:$E,1+(8-1)*7+4)&amp;IF(INDEX('Daily Plan'!$F:$F,1+(8-1)*7+4)="—","",CHAR(10)&amp;INDEX('Daily Plan'!$F:$F,1+(8-1)*7+4))</f>
        <v>30 min easy</v>
      </c>
      <c r="F12" s="51" t="str">
        <f>INDEX('Daily Plan'!$E:$E,1+(8-1)*7+5)&amp;IF(INDEX('Daily Plan'!$F:$F,1+(8-1)*7+5)="—","",CHAR(10)&amp;INDEX('Daily Plan'!$F:$F,1+(8-1)*7+5))</f>
        <v>off</v>
      </c>
      <c r="G12" s="54" t="str">
        <f>INDEX('Daily Plan'!$E:$E,1+(8-1)*7+6)&amp;IF(INDEX('Daily Plan'!$F:$F,1+(8-1)*7+6)="—","",CHAR(10)&amp;INDEX('Daily Plan'!$F:$F,1+(8-1)*7+6))</f>
        <v>45 min run
5 x 40 sec hills</v>
      </c>
      <c r="H12" s="52" t="str">
        <f>INDEX('Daily Plan'!$E:$E,1+(8-1)*7+7)&amp;IF(INDEX('Daily Plan'!$F:$F,1+(8-1)*7+7)="—","",CHAR(10)&amp;INDEX('Daily Plan'!$F:$F,1+(8-1)*7+7))</f>
        <v>30 min easy</v>
      </c>
      <c r="I12" s="53" t="str">
        <f>TEXT('Start Here'!$B$5+49,"mmm d")&amp;" – "&amp;TEXT('Start Here'!$B$5+55,"mmm d")</f>
        <v>Sep 5 – Sep 11</v>
      </c>
      <c r="J12" s="53">
        <f>SUMIFS('Daily Plan'!$H:$H,'Daily Plan'!$A:$A,$A12)</f>
        <v>180</v>
      </c>
      <c r="K12" s="53">
        <f>SUMIFS('Daily Plan'!$J:$J,'Daily Plan'!$A:$A,$A12)</f>
        <v>0</v>
      </c>
    </row>
    <row r="13" spans="1:11" ht="42" customHeight="1" x14ac:dyDescent="0.2">
      <c r="A13" s="50">
        <v>9</v>
      </c>
      <c r="B13" s="52" t="str">
        <f>INDEX('Daily Plan'!$E:$E,1+(9-1)*7+1)&amp;IF(INDEX('Daily Plan'!$F:$F,1+(9-1)*7+1)="—","",CHAR(10)&amp;INDEX('Daily Plan'!$F:$F,1+(9-1)*7+1))</f>
        <v>30 min easy</v>
      </c>
      <c r="C13" s="51" t="str">
        <f>INDEX('Daily Plan'!$E:$E,1+(9-1)*7+2)&amp;IF(INDEX('Daily Plan'!$F:$F,1+(9-1)*7+2)="—","",CHAR(10)&amp;INDEX('Daily Plan'!$F:$F,1+(9-1)*7+2))</f>
        <v>off</v>
      </c>
      <c r="D13" s="54" t="str">
        <f>INDEX('Daily Plan'!$E:$E,1+(9-1)*7+3)&amp;IF(INDEX('Daily Plan'!$F:$F,1+(9-1)*7+3)="—","",CHAR(10)&amp;INDEX('Daily Plan'!$F:$F,1+(9-1)*7+3))</f>
        <v>45 min run
1 x 10 min tempo</v>
      </c>
      <c r="E13" s="52" t="str">
        <f>INDEX('Daily Plan'!$E:$E,1+(9-1)*7+4)&amp;IF(INDEX('Daily Plan'!$F:$F,1+(9-1)*7+4)="—","",CHAR(10)&amp;INDEX('Daily Plan'!$F:$F,1+(9-1)*7+4))</f>
        <v>30 min easy</v>
      </c>
      <c r="F13" s="51" t="str">
        <f>INDEX('Daily Plan'!$E:$E,1+(9-1)*7+5)&amp;IF(INDEX('Daily Plan'!$F:$F,1+(9-1)*7+5)="—","",CHAR(10)&amp;INDEX('Daily Plan'!$F:$F,1+(9-1)*7+5))</f>
        <v>off</v>
      </c>
      <c r="G13" s="54" t="str">
        <f>INDEX('Daily Plan'!$E:$E,1+(9-1)*7+6)&amp;IF(INDEX('Daily Plan'!$F:$F,1+(9-1)*7+6)="—","",CHAR(10)&amp;INDEX('Daily Plan'!$F:$F,1+(9-1)*7+6))</f>
        <v>45 min run
8 x 40 sec hills</v>
      </c>
      <c r="H13" s="52" t="str">
        <f>INDEX('Daily Plan'!$E:$E,1+(9-1)*7+7)&amp;IF(INDEX('Daily Plan'!$F:$F,1+(9-1)*7+7)="—","",CHAR(10)&amp;INDEX('Daily Plan'!$F:$F,1+(9-1)*7+7))</f>
        <v>30 min easy</v>
      </c>
      <c r="I13" s="53" t="str">
        <f>TEXT('Start Here'!$B$5+56,"mmm d")&amp;" – "&amp;TEXT('Start Here'!$B$5+62,"mmm d")</f>
        <v>Sep 12 – Sep 18</v>
      </c>
      <c r="J13" s="53">
        <f>SUMIFS('Daily Plan'!$H:$H,'Daily Plan'!$A:$A,$A13)</f>
        <v>180</v>
      </c>
      <c r="K13" s="53">
        <f>SUMIFS('Daily Plan'!$J:$J,'Daily Plan'!$A:$A,$A13)</f>
        <v>0</v>
      </c>
    </row>
    <row r="14" spans="1:11" ht="42" customHeight="1" x14ac:dyDescent="0.2">
      <c r="A14" s="50">
        <v>10</v>
      </c>
      <c r="B14" s="52" t="str">
        <f>INDEX('Daily Plan'!$E:$E,1+(10-1)*7+1)&amp;IF(INDEX('Daily Plan'!$F:$F,1+(10-1)*7+1)="—","",CHAR(10)&amp;INDEX('Daily Plan'!$F:$F,1+(10-1)*7+1))</f>
        <v>30 min easy</v>
      </c>
      <c r="C14" s="51" t="str">
        <f>INDEX('Daily Plan'!$E:$E,1+(10-1)*7+2)&amp;IF(INDEX('Daily Plan'!$F:$F,1+(10-1)*7+2)="—","",CHAR(10)&amp;INDEX('Daily Plan'!$F:$F,1+(10-1)*7+2))</f>
        <v>off</v>
      </c>
      <c r="D14" s="54" t="str">
        <f>INDEX('Daily Plan'!$E:$E,1+(10-1)*7+3)&amp;IF(INDEX('Daily Plan'!$F:$F,1+(10-1)*7+3)="—","",CHAR(10)&amp;INDEX('Daily Plan'!$F:$F,1+(10-1)*7+3))</f>
        <v>50 min run
2 x 8 min tempo</v>
      </c>
      <c r="E14" s="52" t="str">
        <f>INDEX('Daily Plan'!$E:$E,1+(10-1)*7+4)&amp;IF(INDEX('Daily Plan'!$F:$F,1+(10-1)*7+4)="—","",CHAR(10)&amp;INDEX('Daily Plan'!$F:$F,1+(10-1)*7+4))</f>
        <v>30 min easy</v>
      </c>
      <c r="F14" s="52" t="str">
        <f>INDEX('Daily Plan'!$E:$E,1+(10-1)*7+5)&amp;IF(INDEX('Daily Plan'!$F:$F,1+(10-1)*7+5)="—","",CHAR(10)&amp;INDEX('Daily Plan'!$F:$F,1+(10-1)*7+5))</f>
        <v>30 min easy</v>
      </c>
      <c r="G14" s="54" t="str">
        <f>INDEX('Daily Plan'!$E:$E,1+(10-1)*7+6)&amp;IF(INDEX('Daily Plan'!$F:$F,1+(10-1)*7+6)="—","",CHAR(10)&amp;INDEX('Daily Plan'!$F:$F,1+(10-1)*7+6))</f>
        <v>45 min run
10 x 1 min pickups</v>
      </c>
      <c r="H14" s="51" t="str">
        <f>INDEX('Daily Plan'!$E:$E,1+(10-1)*7+7)&amp;IF(INDEX('Daily Plan'!$F:$F,1+(10-1)*7+7)="—","",CHAR(10)&amp;INDEX('Daily Plan'!$F:$F,1+(10-1)*7+7))</f>
        <v>off</v>
      </c>
      <c r="I14" s="53" t="str">
        <f>TEXT('Start Here'!$B$5+63,"mmm d")&amp;" – "&amp;TEXT('Start Here'!$B$5+69,"mmm d")</f>
        <v>Sep 19 – Sep 25</v>
      </c>
      <c r="J14" s="53">
        <f>SUMIFS('Daily Plan'!$H:$H,'Daily Plan'!$A:$A,$A14)</f>
        <v>185</v>
      </c>
      <c r="K14" s="53">
        <f>SUMIFS('Daily Plan'!$J:$J,'Daily Plan'!$A:$A,$A14)</f>
        <v>0</v>
      </c>
    </row>
    <row r="15" spans="1:11" ht="42" customHeight="1" x14ac:dyDescent="0.2">
      <c r="A15" s="50">
        <v>11</v>
      </c>
      <c r="B15" s="52" t="str">
        <f>INDEX('Daily Plan'!$E:$E,1+(11-1)*7+1)&amp;IF(INDEX('Daily Plan'!$F:$F,1+(11-1)*7+1)="—","",CHAR(10)&amp;INDEX('Daily Plan'!$F:$F,1+(11-1)*7+1))</f>
        <v>30 min easy</v>
      </c>
      <c r="C15" s="51" t="str">
        <f>INDEX('Daily Plan'!$E:$E,1+(11-1)*7+2)&amp;IF(INDEX('Daily Plan'!$F:$F,1+(11-1)*7+2)="—","",CHAR(10)&amp;INDEX('Daily Plan'!$F:$F,1+(11-1)*7+2))</f>
        <v>off</v>
      </c>
      <c r="D15" s="54" t="str">
        <f>INDEX('Daily Plan'!$E:$E,1+(11-1)*7+3)&amp;IF(INDEX('Daily Plan'!$F:$F,1+(11-1)*7+3)="—","",CHAR(10)&amp;INDEX('Daily Plan'!$F:$F,1+(11-1)*7+3))</f>
        <v>60 min run
1 x 10 min tempo</v>
      </c>
      <c r="E15" s="52" t="str">
        <f>INDEX('Daily Plan'!$E:$E,1+(11-1)*7+4)&amp;IF(INDEX('Daily Plan'!$F:$F,1+(11-1)*7+4)="—","",CHAR(10)&amp;INDEX('Daily Plan'!$F:$F,1+(11-1)*7+4))</f>
        <v>35 min easy</v>
      </c>
      <c r="F15" s="52" t="str">
        <f>INDEX('Daily Plan'!$E:$E,1+(11-1)*7+5)&amp;IF(INDEX('Daily Plan'!$F:$F,1+(11-1)*7+5)="—","",CHAR(10)&amp;INDEX('Daily Plan'!$F:$F,1+(11-1)*7+5))</f>
        <v>40 min easy</v>
      </c>
      <c r="G15" s="52" t="str">
        <f>INDEX('Daily Plan'!$E:$E,1+(11-1)*7+6)&amp;IF(INDEX('Daily Plan'!$F:$F,1+(11-1)*7+6)="—","",CHAR(10)&amp;INDEX('Daily Plan'!$F:$F,1+(11-1)*7+6))</f>
        <v>30 min easy</v>
      </c>
      <c r="H15" s="51" t="str">
        <f>INDEX('Daily Plan'!$E:$E,1+(11-1)*7+7)&amp;IF(INDEX('Daily Plan'!$F:$F,1+(11-1)*7+7)="—","",CHAR(10)&amp;INDEX('Daily Plan'!$F:$F,1+(11-1)*7+7))</f>
        <v>off</v>
      </c>
      <c r="I15" s="53" t="str">
        <f>TEXT('Start Here'!$B$5+70,"mmm d")&amp;" – "&amp;TEXT('Start Here'!$B$5+76,"mmm d")</f>
        <v>Sep 26 – Oct 2</v>
      </c>
      <c r="J15" s="53">
        <f>SUMIFS('Daily Plan'!$H:$H,'Daily Plan'!$A:$A,$A15)</f>
        <v>195</v>
      </c>
      <c r="K15" s="53">
        <f>SUMIFS('Daily Plan'!$J:$J,'Daily Plan'!$A:$A,$A15)</f>
        <v>0</v>
      </c>
    </row>
    <row r="16" spans="1:11" ht="42" customHeight="1" x14ac:dyDescent="0.2">
      <c r="A16" s="50">
        <v>12</v>
      </c>
      <c r="B16" s="52" t="str">
        <f>INDEX('Daily Plan'!$E:$E,1+(12-1)*7+1)&amp;IF(INDEX('Daily Plan'!$F:$F,1+(12-1)*7+1)="—","",CHAR(10)&amp;INDEX('Daily Plan'!$F:$F,1+(12-1)*7+1))</f>
        <v>35 min easy</v>
      </c>
      <c r="C16" s="55" t="s">
        <v>80</v>
      </c>
      <c r="D16" s="55"/>
      <c r="E16" s="55"/>
      <c r="F16" s="55"/>
      <c r="G16" s="55"/>
      <c r="H16" s="55"/>
      <c r="I16" s="53" t="str">
        <f>TEXT('Start Here'!$B$5+77,"mmm d")</f>
        <v>Oct 3</v>
      </c>
      <c r="J16" s="53">
        <f>SUMIFS('Daily Plan'!$H:$H,'Daily Plan'!$A:$A,$A16)</f>
        <v>35</v>
      </c>
      <c r="K16" s="53">
        <f>SUMIFS('Daily Plan'!$J:$J,'Daily Plan'!$A:$A,$A16)</f>
        <v>0</v>
      </c>
    </row>
    <row r="18" spans="1:11" x14ac:dyDescent="0.2">
      <c r="A18" s="56" t="s">
        <v>83</v>
      </c>
    </row>
    <row r="19" spans="1:11" ht="15" customHeight="1" x14ac:dyDescent="0.2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</row>
    <row r="21" spans="1:11" ht="23.75" customHeight="1" x14ac:dyDescent="0.2">
      <c r="A21" s="69" t="s">
        <v>81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</row>
  </sheetData>
  <mergeCells count="2">
    <mergeCell ref="A19:K19"/>
    <mergeCell ref="A21:K21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Start Here</vt:lpstr>
      <vt:lpstr>Daily Plan</vt:lpstr>
      <vt:lpstr>Week Grid</vt:lpstr>
      <vt:lpstr>'Daily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Ben Jahnke</cp:lastModifiedBy>
  <cp:revision>0</cp:revision>
  <dcterms:created xsi:type="dcterms:W3CDTF">2026-07-24T17:38:05Z</dcterms:created>
  <dcterms:modified xsi:type="dcterms:W3CDTF">2026-10-08T16:54:18Z</dcterms:modified>
  <dc:language>en-US</dc:language>
</cp:coreProperties>
</file>